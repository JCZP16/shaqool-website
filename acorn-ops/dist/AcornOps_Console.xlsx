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6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7.xml" ContentType="application/vnd.openxmlformats-officedocument.spreadsheetml.comments+xml"/>
  <Override PartName="/xl/worksheets/sheet25.xml" ContentType="application/vnd.openxmlformats-officedocument.spreadsheetml.worksheet+xml"/>
  <Override PartName="/xl/comments/comment8.xml" ContentType="application/vnd.openxmlformats-officedocument.spreadsheetml.comments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10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oday" sheetId="3" state="visible" r:id="rId3"/>
    <sheet xmlns:r="http://schemas.openxmlformats.org/officeDocument/2006/relationships" name="Alerts" sheetId="4" state="visible" r:id="rId4"/>
    <sheet xmlns:r="http://schemas.openxmlformats.org/officeDocument/2006/relationships" name="Intake" sheetId="5" state="visible" r:id="rId5"/>
    <sheet xmlns:r="http://schemas.openxmlformats.org/officeDocument/2006/relationships" name="WB_Staging" sheetId="6" state="visible" r:id="rId6"/>
    <sheet xmlns:r="http://schemas.openxmlformats.org/officeDocument/2006/relationships" name="Config" sheetId="7" state="visible" r:id="rId7"/>
    <sheet xmlns:r="http://schemas.openxmlformats.org/officeDocument/2006/relationships" name="Rules" sheetId="8" state="visible" r:id="rId8"/>
    <sheet xmlns:r="http://schemas.openxmlformats.org/officeDocument/2006/relationships" name="WB_Map" sheetId="9" state="visible" r:id="rId9"/>
    <sheet xmlns:r="http://schemas.openxmlformats.org/officeDocument/2006/relationships" name="DocGen" sheetId="10" state="visible" r:id="rId10"/>
    <sheet xmlns:r="http://schemas.openxmlformats.org/officeDocument/2006/relationships" name="TokenRef" sheetId="11" state="visible" r:id="rId11"/>
    <sheet xmlns:r="http://schemas.openxmlformats.org/officeDocument/2006/relationships" name="Data_Customers" sheetId="12" state="hidden" r:id="rId12"/>
    <sheet xmlns:r="http://schemas.openxmlformats.org/officeDocument/2006/relationships" name="Data_Sites" sheetId="13" state="hidden" r:id="rId13"/>
    <sheet xmlns:r="http://schemas.openxmlformats.org/officeDocument/2006/relationships" name="Data_Assets" sheetId="14" state="hidden" r:id="rId14"/>
    <sheet xmlns:r="http://schemas.openxmlformats.org/officeDocument/2006/relationships" name="Data_Vehicles" sheetId="15" state="hidden" r:id="rId15"/>
    <sheet xmlns:r="http://schemas.openxmlformats.org/officeDocument/2006/relationships" name="Data_Drivers" sheetId="16" state="hidden" r:id="rId16"/>
    <sheet xmlns:r="http://schemas.openxmlformats.org/officeDocument/2006/relationships" name="Data_Staff" sheetId="17" state="hidden" r:id="rId17"/>
    <sheet xmlns:r="http://schemas.openxmlformats.org/officeDocument/2006/relationships" name="Data_WasteStreams" sheetId="18" state="hidden" r:id="rId18"/>
    <sheet xmlns:r="http://schemas.openxmlformats.org/officeDocument/2006/relationships" name="Data_Outlets" sheetId="19" state="hidden" r:id="rId19"/>
    <sheet xmlns:r="http://schemas.openxmlformats.org/officeDocument/2006/relationships" name="Data_PriceList" sheetId="20" state="hidden" r:id="rId20"/>
    <sheet xmlns:r="http://schemas.openxmlformats.org/officeDocument/2006/relationships" name="Data_Suppliers" sheetId="21" state="hidden" r:id="rId21"/>
    <sheet xmlns:r="http://schemas.openxmlformats.org/officeDocument/2006/relationships" name="Data_Jobs" sheetId="22" state="hidden" r:id="rId22"/>
    <sheet xmlns:r="http://schemas.openxmlformats.org/officeDocument/2006/relationships" name="Data_Movements" sheetId="23" state="hidden" r:id="rId23"/>
    <sheet xmlns:r="http://schemas.openxmlformats.org/officeDocument/2006/relationships" name="Data_WeighTickets" sheetId="24" state="hidden" r:id="rId24"/>
    <sheet xmlns:r="http://schemas.openxmlformats.org/officeDocument/2006/relationships" name="Data_TransferNotes" sheetId="25" state="hidden" r:id="rId25"/>
    <sheet xmlns:r="http://schemas.openxmlformats.org/officeDocument/2006/relationships" name="Data_InvoiceLines" sheetId="26" state="hidden" r:id="rId26"/>
    <sheet xmlns:r="http://schemas.openxmlformats.org/officeDocument/2006/relationships" name="Data_EmailLog" sheetId="27" state="hidden" r:id="rId27"/>
    <sheet xmlns:r="http://schemas.openxmlformats.org/officeDocument/2006/relationships" name="Data_DocsIssued" sheetId="28" state="hidden" r:id="rId28"/>
    <sheet xmlns:r="http://schemas.openxmlformats.org/officeDocument/2006/relationships" name="Data_DocRegister" sheetId="29" state="hidden" r:id="rId29"/>
    <sheet xmlns:r="http://schemas.openxmlformats.org/officeDocument/2006/relationships" name="Data_NCR" sheetId="30" state="hidden" r:id="rId30"/>
    <sheet xmlns:r="http://schemas.openxmlformats.org/officeDocument/2006/relationships" name="Data_Audits" sheetId="31" state="hidden" r:id="rId31"/>
    <sheet xmlns:r="http://schemas.openxmlformats.org/officeDocument/2006/relationships" name="Data_Training" sheetId="32" state="hidden" r:id="rId32"/>
    <sheet xmlns:r="http://schemas.openxmlformats.org/officeDocument/2006/relationships" name="Data_RequiredTraining" sheetId="33" state="hidden" r:id="rId33"/>
    <sheet xmlns:r="http://schemas.openxmlformats.org/officeDocument/2006/relationships" name="Data_Calibration" sheetId="34" state="hidden" r:id="rId34"/>
    <sheet xmlns:r="http://schemas.openxmlformats.org/officeDocument/2006/relationships" name="Data_Permits" sheetId="35" state="hidden" r:id="rId35"/>
    <sheet xmlns:r="http://schemas.openxmlformats.org/officeDocument/2006/relationships" name="Data_Incidents" sheetId="36" state="hidden" r:id="rId36"/>
    <sheet xmlns:r="http://schemas.openxmlformats.org/officeDocument/2006/relationships" name="Data_LegalRegister" sheetId="37" state="hidden" r:id="rId37"/>
    <sheet xmlns:r="http://schemas.openxmlformats.org/officeDocument/2006/relationships" name="Data_Objectives" sheetId="38" state="hidden" r:id="rId38"/>
    <sheet xmlns:r="http://schemas.openxmlformats.org/officeDocument/2006/relationships" name="Data_RisksOpps" sheetId="39" state="hidden" r:id="rId39"/>
    <sheet xmlns:r="http://schemas.openxmlformats.org/officeDocument/2006/relationships" name="Data_MgmtReview" sheetId="40" state="hidden" r:id="rId40"/>
    <sheet xmlns:r="http://schemas.openxmlformats.org/officeDocument/2006/relationships" name="Data_SupplierEval" sheetId="41" state="hidden" r:id="rId41"/>
    <sheet xmlns:r="http://schemas.openxmlformats.org/officeDocument/2006/relationships" name="_Lists" sheetId="42" state="hidden" r:id="rId42"/>
  </sheets>
  <definedNames>
    <definedName name="cfgLongHireDays">Config!$B$38</definedName>
    <definedName name="cfgRecoveryTargetPct">Config!$B$39</definedName>
    <definedName name="cfgAlertAmberDays">Config!$B$37</definedName>
    <definedName name="cfgMassBalanceTolerancePct">Config!$B$40</definedName>
    <definedName name="lst_ApprovalStatus">'_Lists'!$A$5:$A$9</definedName>
    <definedName name="lst_AssetStatus">'_Lists'!$B$5:$B$11</definedName>
    <definedName name="lst_AuditType">'_Lists'!$C$5:$C$10</definedName>
    <definedName name="lst_Compliance">'_Lists'!$D$5:$D$9</definedName>
    <definedName name="lst_ContainerType">'_Lists'!$E$5:$E$15</definedName>
    <definedName name="lst_CustomerType">'_Lists'!$F$5:$F$10</definedName>
    <definedName name="lst_Direction">'_Lists'!$G$5:$G$6</definedName>
    <definedName name="lst_DocStatus">'_Lists'!$H$5:$H$9</definedName>
    <definedName name="lst_DocType">'_Lists'!$I$5:$I$13</definedName>
    <definedName name="lst_EmailCategory">'_Lists'!$J$5:$J$15</definedName>
    <definedName name="lst_IncidentType">'_Lists'!$K$5:$K$13</definedName>
    <definedName name="lst_InvoiceStatus">'_Lists'!$L$5:$L$11</definedName>
    <definedName name="lst_JobStatus">'_Lists'!$M$5:$M$14</definedName>
    <definedName name="lst_LikertScore">'_Lists'!$N$5:$N$9</definedName>
    <definedName name="lst_MovementType">'_Lists'!$O$5:$O$11</definedName>
    <definedName name="lst_NCRSource">'_Lists'!$P$5:$P$13</definedName>
    <definedName name="lst_NCRType">'_Lists'!$Q$5:$Q$9</definedName>
    <definedName name="lst_OpenClosed">'_Lists'!$R$5:$R$9</definedName>
    <definedName name="lst_OutletType">'_Lists'!$S$5:$S$13</definedName>
    <definedName name="lst_PaymentTerms">'_Lists'!$T$5:$T$11</definedName>
    <definedName name="lst_PermitType">'_Lists'!$U$5:$U$12</definedName>
    <definedName name="lst_RecordStatus">'_Lists'!$V$5:$V$7</definedName>
    <definedName name="lst_RecoveryRoute">'_Lists'!$W$5:$W$9</definedName>
    <definedName name="lst_RiskType">'_Lists'!$X$5:$X$6</definedName>
    <definedName name="lst_ServiceType">'_Lists'!$Y$5:$Y$11</definedName>
    <definedName name="lst_Severity">'_Lists'!$Z$5:$Z$7</definedName>
    <definedName name="lst_Standard">'_Lists'!$AA$5:$AA$10</definedName>
    <definedName name="lst_StreamGroup">'_Lists'!$AB$5:$AB$17</definedName>
    <definedName name="lst_UOM">'_Lists'!$AC$5:$AC$11</definedName>
    <definedName name="lst_WTNDocType">'_Lists'!$AD$5:$AD$7</definedName>
    <definedName name="lst_YesNo">'_Lists'!$AE$5:$AE$6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mmm yyyy"/>
    <numFmt numFmtId="165" formatCode="dd/mm/yyyy"/>
    <numFmt numFmtId="166" formatCode="#,##0;-#,##0;&quot;-&quot;"/>
    <numFmt numFmtId="167" formatCode="£#,##0;[Red]-£#,##0;&quot;-&quot;"/>
    <numFmt numFmtId="168" formatCode="#,##0.00;-#,##0.00;&quot;-&quot;"/>
    <numFmt numFmtId="169" formatCode="0.0%"/>
    <numFmt numFmtId="170" formatCode="£#,##0.00;[Red]-£#,##0.00;&quot;-&quot;"/>
  </numFmts>
  <fonts count="10">
    <font>
      <name val="Calibri"/>
      <family val="2"/>
      <color theme="1"/>
      <sz val="11"/>
      <scheme val="minor"/>
    </font>
    <font>
      <name val="Arial"/>
      <b val="1"/>
      <color rgb="001B2A22"/>
      <sz val="20"/>
    </font>
    <font>
      <name val="Arial"/>
      <color rgb="005A6B62"/>
      <sz val="11"/>
    </font>
    <font>
      <name val="Arial"/>
      <b val="1"/>
      <color rgb="001B2A22"/>
      <sz val="12"/>
    </font>
    <font>
      <name val="Arial"/>
      <b val="1"/>
      <color rgb="001B2A22"/>
      <sz val="10"/>
    </font>
    <font>
      <name val="Arial"/>
      <color rgb="001B2A22"/>
      <sz val="10"/>
    </font>
    <font>
      <name val="Arial"/>
      <i val="1"/>
      <color rgb="005A6B62"/>
      <sz val="9"/>
    </font>
    <font>
      <name val="Arial"/>
      <b val="1"/>
      <color rgb="000000FF"/>
      <sz val="10"/>
    </font>
    <font>
      <name val="Arial"/>
      <b val="1"/>
      <color rgb="002F4A3C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2B8"/>
      </patternFill>
    </fill>
    <fill>
      <patternFill patternType="solid">
        <fgColor rgb="00EDF1EE"/>
      </patternFill>
    </fill>
    <fill>
      <patternFill patternType="solid">
        <fgColor rgb="00F5F8F6"/>
      </patternFill>
    </fill>
    <fill>
      <patternFill patternType="solid">
        <fgColor rgb="002F4A3C"/>
      </patternFill>
    </fill>
    <fill>
      <patternFill patternType="solid">
        <fgColor rgb="00D9E2DC"/>
      </patternFill>
    </fill>
  </fills>
  <borders count="2">
    <border>
      <left/>
      <right/>
      <top/>
      <bottom/>
      <diagonal/>
    </border>
    <border>
      <left style="thin">
        <color rgb="00C7D2CB"/>
      </left>
      <right style="thin">
        <color rgb="00C7D2CB"/>
      </right>
      <top style="thin">
        <color rgb="00C7D2CB"/>
      </top>
      <bottom style="thin">
        <color rgb="00C7D2C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4" fontId="7" fillId="2" borderId="0" pivotButton="0" quotePrefix="0" xfId="0"/>
    <xf numFmtId="165" fontId="5" fillId="3" borderId="0" pivotButton="0" quotePrefix="0" xfId="0"/>
    <xf numFmtId="0" fontId="5" fillId="3" borderId="0" pivotButton="0" quotePrefix="0" xfId="0"/>
    <xf numFmtId="0" fontId="5" fillId="4" borderId="1" applyAlignment="1" pivotButton="0" quotePrefix="0" xfId="0">
      <alignment vertical="center" wrapText="1"/>
    </xf>
    <xf numFmtId="166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169" fontId="8" fillId="4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170" fontId="8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164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4" fillId="6" borderId="1" pivotButton="0" quotePrefix="0" xfId="0"/>
    <xf numFmtId="168" fontId="4" fillId="6" borderId="1" pivotButton="0" quotePrefix="0" xfId="0"/>
    <xf numFmtId="169" fontId="4" fillId="6" borderId="1" pivotButton="0" quotePrefix="0" xfId="0"/>
    <xf numFmtId="166" fontId="4" fillId="6" borderId="1" pivotButton="0" quotePrefix="0" xfId="0"/>
    <xf numFmtId="167" fontId="4" fillId="6" borderId="1" pivotButton="0" quotePrefix="0" xfId="0"/>
    <xf numFmtId="0" fontId="6" fillId="0" borderId="0" applyAlignment="1" pivotButton="0" quotePrefix="0" xfId="0">
      <alignment vertical="top" wrapText="1"/>
    </xf>
    <xf numFmtId="0" fontId="9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top" wrapText="1"/>
    </xf>
    <xf numFmtId="0" fontId="5" fillId="0" borderId="1" pivotButton="0" quotePrefix="0" xfId="0"/>
    <xf numFmtId="0" fontId="7" fillId="2" borderId="1" pivotButton="0" quotePrefix="0" xfId="0"/>
    <xf numFmtId="0" fontId="5" fillId="0" borderId="1" applyAlignment="1" pivotButton="0" quotePrefix="0" xfId="0">
      <alignment vertical="top" wrapText="1"/>
    </xf>
    <xf numFmtId="166" fontId="7" fillId="2" borderId="1" pivotButton="0" quotePrefix="0" xfId="0"/>
    <xf numFmtId="169" fontId="7" fillId="2" borderId="1" pivotButton="0" quotePrefix="0" xfId="0"/>
    <xf numFmtId="0" fontId="9" fillId="5" borderId="1" pivotButton="0" quotePrefix="0" xfId="0"/>
    <xf numFmtId="0" fontId="9" fillId="5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8C1C1C"/>
        <sz val="14"/>
      </font>
      <fill>
        <patternFill patternType="solid">
          <fgColor rgb="00F8D2D2"/>
        </patternFill>
      </fill>
    </dxf>
    <dxf>
      <fill>
        <patternFill patternType="solid">
          <fgColor rgb="00FCEBC8"/>
        </patternFill>
      </fill>
    </dxf>
    <dxf>
      <fill>
        <patternFill patternType="solid">
          <fgColor rgb="00D8EEDD"/>
        </patternFill>
      </fill>
    </dxf>
    <dxf>
      <fill>
        <patternFill patternType="solid">
          <fgColor rgb="00F8D2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comments/comment1.xml><?xml version="1.0" encoding="utf-8"?>
<comments xmlns="http://schemas.openxmlformats.org/spreadsheetml/2006/main">
  <authors>
    <author>Acorn Ops</author>
  </authors>
  <commentList>
    <comment ref="C4" authorId="0" shapeId="0">
      <text>
        <t>Defaults to the current month. Type any month start over it (e.g. 01/03/2026) to look back; delete what you typed and put =EOMONTH(TODAY(),-1)+1 back to return to automatic.</t>
      </text>
    </comment>
    <comment ref="I4" authorId="0" shapeId="0">
      <text>
        <t>Stamped by the Sync routine. If this says 'never' the caches are empty and every figure below is zero.</t>
      </text>
    </comment>
    <comment ref="E7" authorId="0" shapeId="0">
      <text>
        <t>Weighbridge tickets marked In - material arriving on site.</t>
      </text>
    </comment>
    <comment ref="H7" authorId="0" shapeId="0">
      <text>
        <t>Trading without one of these is a criminal offence, not a paperwork slip.</t>
      </text>
    </comment>
    <comment ref="E8" authorId="0" shapeId="0">
      <text>
        <t>Material leaving site to an onward outlet.</t>
      </text>
    </comment>
    <comment ref="B9" authorId="0" shapeId="0">
      <text>
        <t>Anything not Completed, Invoiced or Cancelled.</t>
      </text>
    </comment>
    <comment ref="E9" authorId="0" shapeId="0">
      <text>
        <t>Despatched tonnage that did not go to a landfill outlet.</t>
      </text>
    </comment>
    <comment ref="H9" authorId="0" shapeId="0">
      <text>
        <t>Tax, MOT, insurance, LOLER and tacho calibration across the fleet.</t>
      </text>
    </comment>
    <comment ref="H10" authorId="0" shapeId="0">
      <text>
        <t>Licence, CPC and medical.</t>
      </text>
    </comment>
    <comment ref="E11" authorId="0" shapeId="0">
      <text>
        <t>Diverted / despatched. Measured on outputs - where the material actually ended up - which is what the regulator and your customers will ask for. An inputs-based figure flatters you because it ignores residue.</t>
      </text>
    </comment>
    <comment ref="H11" authorId="0" shapeId="0">
      <text>
        <t>Includes the weighbridge. An out-of-calibration bridge invalidates every ticket.</t>
      </text>
    </comment>
    <comment ref="E12" authorId="0" shapeId="0">
      <text>
        <t>In minus out, as a share of in. Some variance is normal - stock on site and moisture loss. A big one usually means Out tickets are missing, and that is a permit problem.</t>
      </text>
    </comment>
    <comment ref="B13" authorId="0" shapeId="0">
      <text>
        <t>Containers out longer than Config &gt; LongHireDays. These are the ones to chase.</t>
      </text>
    </comment>
    <comment ref="B14" authorId="0" shapeId="0">
      <text>
        <t>Tickets with no job against them. They cannot be invoiced until they are reconciled.</t>
      </text>
    </comment>
    <comment ref="E14" authorId="0" shapeId="0">
      <text>
        <t>Should not be materially below jobs completed - every movement needs a note.</t>
      </text>
    </comment>
    <comment ref="H17" authorId="0" shapeId="0">
      <text>
        <t>Planned date has passed and no actual date recorded.</t>
      </text>
    </comment>
  </commentList>
</comments>
</file>

<file path=xl/comments/comment2.xml><?xml version="1.0" encoding="utf-8"?>
<comments xmlns="http://schemas.openxmlformats.org/spreadsheetml/2006/main">
  <authors>
    <author>Acorn Ops</author>
  </authors>
  <commentList>
    <comment ref="B4" authorId="0" shapeId="0">
      <text>
        <t>Subject, Body, From or Any (subject + body + sender).</t>
      </text>
    </comment>
    <comment ref="C4" authorId="0" shapeId="0">
      <text>
        <t>Contains, StartsWith, EndsWith or Equals. Case is ignored throughout.</t>
      </text>
    </comment>
    <comment ref="F4" authorId="0" shapeId="0">
      <text>
        <t>Free text shown on the Intake sheet - it tells whoever is working the list what to do.</t>
      </text>
    </comment>
  </commentList>
</comments>
</file>

<file path=xl/comments/comment3.xml><?xml version="1.0" encoding="utf-8"?>
<comments xmlns="http://schemas.openxmlformats.org/spreadsheetml/2006/main">
  <authors>
    <author>Acorn Ops</author>
  </authors>
  <commentList>
    <comment ref="A4" authorId="0" shapeId="0">
      <text>
        <t>The field in tblWeighTickets. Do not change these - the importer looks them up by name.</t>
      </text>
    </comment>
    <comment ref="B4" authorId="0" shapeId="0">
      <text>
        <t>The exact column heading in the CSV. Leave blank to skip the field.</t>
      </text>
    </comment>
    <comment ref="C4" authorId="0" shapeId="0">
      <text>
        <t>Second source column, used when the export splits a value - typically a separate time column that belongs with the date.</t>
      </text>
    </comment>
    <comment ref="D4" authorId="0" shapeId="0">
      <text>
        <t>Trim, Upper, UpperNoSpace, DigitsOnly, Number, TonnesToKg, Date, DateTime, or Map:FROM=TO;FROM=TO to rewrite coded values.</t>
      </text>
    </comment>
  </commentList>
</comments>
</file>

<file path=xl/comments/comment4.xml><?xml version="1.0" encoding="utf-8"?>
<comments xmlns="http://schemas.openxmlformats.org/spreadsheetml/2006/main">
  <authors>
    <author>Acorn Ops</author>
  </authors>
  <commentList>
    <comment ref="C4" authorId="0" shapeId="0">
      <text>
        <t>Which record supplies the tokens: Job, TransferNote, Customer, NCR, or Manual.</t>
      </text>
    </comment>
    <comment ref="D4" authorId="0" shapeId="0">
      <text>
        <t>File name pattern; tokens are substituted. The extension is added automatically.</t>
      </text>
    </comment>
    <comment ref="E4" authorId="0" shapeId="0">
      <text>
        <t>DOCX, PDF or Both. PDF needs nothing extra - Word does the export.</t>
      </text>
    </comment>
  </commentList>
</comments>
</file>

<file path=xl/comments/comment5.xml><?xml version="1.0" encoding="utf-8"?>
<comments xmlns="http://schemas.openxmlformats.org/spreadsheetml/2006/main">
  <authors>
    <author>Acorn Ops</author>
  </authors>
  <commentList>
    <comment ref="N1" authorId="0" shapeId="0">
      <text>
        <t>Columns from N onwards are derived at sync time by modSync.bas (DaysOnHire). They are not in the source workbook.</t>
      </text>
    </comment>
  </commentList>
</comments>
</file>

<file path=xl/comments/comment6.xml><?xml version="1.0" encoding="utf-8"?>
<comments xmlns="http://schemas.openxmlformats.org/spreadsheetml/2006/main">
  <authors>
    <author>Acorn Ops</author>
  </authors>
  <commentList>
    <comment ref="V1" authorId="0" shapeId="0">
      <text>
        <t>Columns from V onwards are derived at sync time by modSync.bas (MonthStart, IsOpen, CustomerName, SitePostcode). They are not in the source workbook.</t>
      </text>
    </comment>
  </commentList>
</comments>
</file>

<file path=xl/comments/comment7.xml><?xml version="1.0" encoding="utf-8"?>
<comments xmlns="http://schemas.openxmlformats.org/spreadsheetml/2006/main">
  <authors>
    <author>Acorn Ops</author>
  </authors>
  <commentList>
    <comment ref="S1" authorId="0" shapeId="0">
      <text>
        <t>Columns from S onwards are derived at sync time by modSync.bas (StreamGroup, RecoveryRoute, Hazardous, MonthStart, NetT, CustomerName). They are not in the source workbook.</t>
      </text>
    </comment>
  </commentList>
</comments>
</file>

<file path=xl/comments/comment8.xml><?xml version="1.0" encoding="utf-8"?>
<comments xmlns="http://schemas.openxmlformats.org/spreadsheetml/2006/main">
  <authors>
    <author>Acorn Ops</author>
  </authors>
  <commentList>
    <comment ref="S1" authorId="0" shapeId="0">
      <text>
        <t>Columns from S onwards are derived at sync time by modSync.bas (MonthStart). They are not in the source workbook.</t>
      </text>
    </comment>
  </commentList>
</comments>
</file>

<file path=xl/comments/comment9.xml><?xml version="1.0" encoding="utf-8"?>
<comments xmlns="http://schemas.openxmlformats.org/spreadsheetml/2006/main">
  <authors>
    <author>Acorn Ops</author>
  </authors>
  <commentList>
    <comment ref="P1" authorId="0" shapeId="0">
      <text>
        <t>Columns from P onwards are derived at sync time by modSync.bas (MonthStart). They are not in the source workbook.</t>
      </text>
    </comment>
  </commentList>
</comments>
</file>

<file path=xl/comments/comment10.xml><?xml version="1.0" encoding="utf-8"?>
<comments xmlns="http://schemas.openxmlformats.org/spreadsheetml/2006/main">
  <authors>
    <author>Acorn Ops</author>
  </authors>
  <commentList>
    <comment ref="K1" authorId="0" shapeId="0">
      <text>
        <t>Columns from K onwards are derived at sync time by modSync.bas (Role). They are not in the source workbook.</t>
      </text>
    </comment>
  </commentList>
</comments>
</file>

<file path=xl/tables/table1.xml><?xml version="1.0" encoding="utf-8"?>
<table xmlns="http://schemas.openxmlformats.org/spreadsheetml/2006/main" id="1" name="tblConfig" displayName="tblConfig" ref="A4:C43" headerRowCount="1">
  <autoFilter ref="A4:C43"/>
  <tableColumns count="3">
    <tableColumn id="1" name="Setting"/>
    <tableColumn id="2" name="Value"/>
    <tableColumn id="3" name="Notes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blCounters" displayName="tblCounters" ref="A47:E60" headerRowCount="1">
  <autoFilter ref="A47:E60"/>
  <tableColumns count="5">
    <tableColumn id="1" name="Counter"/>
    <tableColumn id="2" name="Prefix"/>
    <tableColumn id="3" name="NextNumber"/>
    <tableColumn id="4" name="Pad"/>
    <tableColumn id="5" name="Feeds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blRules" displayName="tblRules" ref="A4:G20" headerRowCount="1">
  <autoFilter ref="A4:G20"/>
  <tableColumns count="7">
    <tableColumn id="1" name="Priority"/>
    <tableColumn id="2" name="Field"/>
    <tableColumn id="3" name="MatchType"/>
    <tableColumn id="4" name="Keyword"/>
    <tableColumn id="5" name="Category"/>
    <tableColumn id="6" name="Action"/>
    <tableColumn id="7" name="Enabled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blWBMap" displayName="tblWBMap" ref="A4:E17" headerRowCount="1">
  <autoFilter ref="A4:E17"/>
  <tableColumns count="5">
    <tableColumn id="1" name="TargetField"/>
    <tableColumn id="2" name="SourceHeader"/>
    <tableColumn id="3" name="SourceHeader2"/>
    <tableColumn id="4" name="Transform"/>
    <tableColumn id="5" name="Notes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blTemplates" displayName="tblTemplates" ref="A4:F12" headerRowCount="1">
  <autoFilter ref="A4:F12"/>
  <tableColumns count="6">
    <tableColumn id="1" name="TemplateFile"/>
    <tableColumn id="2" name="DocType"/>
    <tableColumn id="3" name="Source"/>
    <tableColumn id="4" name="OutputName"/>
    <tableColumn id="5" name="SaveAs"/>
    <tableColumn id="6" name="Description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blTokenRef" displayName="tblTokenRef" ref="A4:D157" headerRowCount="1">
  <autoFilter ref="A4:D157"/>
  <tableColumns count="4">
    <tableColumn id="1" name="Used by"/>
    <tableColumn id="2" name="Token"/>
    <tableColumn id="3" name="Source table"/>
    <tableColumn id="4" name="Field / meaning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tabColor rgb="002F4A3C"/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6" customWidth="1" min="3" max="3"/>
  </cols>
  <sheetData>
    <row r="2">
      <c r="B2" s="1" t="inlineStr">
        <is>
          <t>Acorn Recyclers - Operations Console</t>
        </is>
      </c>
    </row>
    <row r="3">
      <c r="B3" s="2" t="inlineStr">
        <is>
          <t>The front end. It holds no data of its own - it reads the three workbooks in 01_Data, so it can be closed, copied or rebuilt without ever putting a record at risk.</t>
        </is>
      </c>
    </row>
    <row r="6">
      <c r="B6" s="3" t="inlineStr">
        <is>
          <t>Every day</t>
        </is>
      </c>
    </row>
    <row r="7" ht="30" customHeight="1">
      <c r="B7" s="4" t="inlineStr">
        <is>
          <t>1. Sync</t>
        </is>
      </c>
      <c r="C7" s="5" t="inlineStr">
        <is>
          <t>Pulls the three data workbooks into this file. Everything else reads the result. Takes a couple of seconds; do it whenever you sit down.</t>
        </is>
      </c>
    </row>
    <row r="8" ht="30" customHeight="1">
      <c r="B8" s="4" t="inlineStr">
        <is>
          <t>2. Today</t>
        </is>
      </c>
      <c r="C8" s="5" t="inlineStr">
        <is>
          <t>The job board: what is booked, allocated, on site and awaiting collection.</t>
        </is>
      </c>
    </row>
    <row r="9" ht="30" customHeight="1">
      <c r="B9" s="4" t="inlineStr">
        <is>
          <t>3. Import Weighbridge</t>
        </is>
      </c>
      <c r="C9" s="5" t="inlineStr">
        <is>
          <t>Reads every CSV in 02_Inbox\Weighbridge, maps the columns using the WB_Map sheet, and writes tickets into the Operations workbook.</t>
        </is>
      </c>
    </row>
    <row r="10" ht="30" customHeight="1">
      <c r="B10" s="4" t="inlineStr">
        <is>
          <t>4. Scrape Outlook</t>
        </is>
      </c>
      <c r="C10" s="5" t="inlineStr">
        <is>
          <t>Reads the Outlook intake folder, classifies each mail against the Rules sheet, saves the attachments and logs it. Safe to run repeatedly - nothing is ever logged twice.</t>
        </is>
      </c>
    </row>
    <row r="11" ht="30" customHeight="1">
      <c r="B11" s="4" t="inlineStr">
        <is>
          <t>5. Intake</t>
        </is>
      </c>
      <c r="C11" s="5" t="inlineStr">
        <is>
          <t>Work through what Outlook brought in and turn bookings into jobs.</t>
        </is>
      </c>
    </row>
    <row r="13">
      <c r="B13" s="3" t="inlineStr">
        <is>
          <t>When you need it</t>
        </is>
      </c>
    </row>
    <row r="14" ht="30" customHeight="1">
      <c r="B14" s="4" t="inlineStr">
        <is>
          <t>Generate Document</t>
        </is>
      </c>
      <c r="C14" s="5" t="inlineStr">
        <is>
          <t>Builds a transfer note, confirmation, quote or NCR from a Word template and files it against the job.</t>
        </is>
      </c>
    </row>
    <row r="15" ht="30" customHeight="1">
      <c r="B15" s="4" t="inlineStr">
        <is>
          <t>Reconcile Tickets</t>
        </is>
      </c>
      <c r="C15" s="5" t="inlineStr">
        <is>
          <t>Matches unmatched weighbridge tickets to jobs on vehicle and date.</t>
        </is>
      </c>
    </row>
    <row r="16" ht="30" customHeight="1">
      <c r="B16" s="4" t="inlineStr">
        <is>
          <t>Build Invoice Lines</t>
        </is>
      </c>
      <c r="C16" s="5" t="inlineStr">
        <is>
          <t>Turns completed jobs and weighed tonnage into charge lines ready to export to the accounts package.</t>
        </is>
      </c>
    </row>
    <row r="18">
      <c r="B18" s="3" t="inlineStr">
        <is>
          <t>Weekly / monthly</t>
        </is>
      </c>
    </row>
    <row r="19" ht="30" customHeight="1">
      <c r="B19" s="4" t="inlineStr">
        <is>
          <t>Alerts</t>
        </is>
      </c>
      <c r="C19" s="5" t="inlineStr">
        <is>
          <t>Every renewal, calibration, licence, training record and overdue action in one list. If this sheet is empty you are in good shape.</t>
        </is>
      </c>
    </row>
    <row r="20" ht="30" customHeight="1">
      <c r="B20" s="4" t="inlineStr">
        <is>
          <t>Dashboard</t>
        </is>
      </c>
      <c r="C20" s="5" t="inlineStr">
        <is>
          <t>Live position, month to date, and a rolling twelve months of tonnage and recovery.</t>
        </is>
      </c>
    </row>
    <row r="21" ht="30" customHeight="1">
      <c r="B21" s="4" t="inlineStr">
        <is>
          <t>Document Control Check</t>
        </is>
      </c>
      <c r="C21" s="5" t="inlineStr">
        <is>
          <t>Reconciles 04_Documents\Controlled against the document register - finds uncontrolled files and documents overdue review.</t>
        </is>
      </c>
    </row>
    <row r="22" ht="30" customHeight="1">
      <c r="B22" s="4" t="inlineStr">
        <is>
          <t>Archive Year</t>
        </is>
      </c>
      <c r="C22" s="5" t="inlineStr">
        <is>
          <t>Moves a closed year into 06_Archive. It will not touch anything still inside its statutory retention window.</t>
        </is>
      </c>
    </row>
    <row r="24">
      <c r="B24" s="3" t="inlineStr">
        <is>
          <t>Before you start</t>
        </is>
      </c>
    </row>
    <row r="25">
      <c r="C25" s="6" t="inlineStr">
        <is>
          <t>Set RootPath on the Config sheet to wherever the AcornOps folder actually lives.</t>
        </is>
      </c>
    </row>
    <row r="26">
      <c r="C26" s="6" t="inlineStr">
        <is>
          <t>Put your initials in CurrentUser on the Config sheet - it stamps everything you create.</t>
        </is>
      </c>
    </row>
    <row r="27">
      <c r="C27" s="6" t="inlineStr">
        <is>
          <t>Fill in the company block on Config. Those values are printed onto every transfer note.</t>
        </is>
      </c>
    </row>
    <row r="28">
      <c r="C28" s="6" t="inlineStr">
        <is>
          <t>Check WB_Map against a real export from the weighbridge software before the first import.</t>
        </is>
      </c>
    </row>
    <row r="29">
      <c r="C29" s="6" t="inlineStr">
        <is>
          <t>Delete the amber example row from each sheet of the three data workbooks (Admin &gt; Clear Example Rows).</t>
        </is>
      </c>
    </row>
    <row r="31" ht="30" customHeight="1">
      <c r="B31" s="3" t="inlineStr">
        <is>
          <t>If the buttons are missing</t>
        </is>
      </c>
      <c r="C31" s="5" t="inlineStr">
        <is>
          <t>This file is .xlsx until the installer imports the macros and saves it as AcornOps_Console.xlsm. Run 99_Scripts\Install-AcornOps.ps1, then open the .xlsm.</t>
        </is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4A3C"/>
    <outlinePr summaryBelow="1" summaryRight="1"/>
    <pageSetUpPr/>
  </sheetPr>
  <dimension ref="B1:I3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34" customWidth="1" min="5" max="5"/>
    <col width="13" customWidth="1" min="6" max="6"/>
    <col width="13" customWidth="1" min="7" max="7"/>
    <col width="36" customWidth="1" min="8" max="8"/>
    <col width="13" customWidth="1" min="9" max="9"/>
  </cols>
  <sheetData>
    <row r="1">
      <c r="B1" s="1" t="inlineStr">
        <is>
          <t>Operations Dashboard</t>
        </is>
      </c>
    </row>
    <row r="2">
      <c r="B2" s="7" t="inlineStr">
        <is>
          <t>Live formulas over the Data_* caches. Press Sync first - every figure here is only as current as the last sync.</t>
        </is>
      </c>
    </row>
    <row r="4">
      <c r="B4" s="8" t="inlineStr">
        <is>
          <t>Reporting month</t>
        </is>
      </c>
      <c r="C4" s="9">
        <f>EOMONTH(TODAY(),-1)+1</f>
        <v/>
      </c>
      <c r="E4" s="8" t="inlineStr">
        <is>
          <t>Month end</t>
        </is>
      </c>
      <c r="F4" s="10">
        <f>EOMONTH($C$4,0)</f>
        <v/>
      </c>
      <c r="H4" s="8" t="inlineStr">
        <is>
          <t>Data last synced</t>
        </is>
      </c>
      <c r="I4" s="11" t="inlineStr">
        <is>
          <t>never</t>
        </is>
      </c>
    </row>
    <row r="6">
      <c r="B6" s="3" t="inlineStr">
        <is>
          <t>Live position</t>
        </is>
      </c>
      <c r="E6" s="3" t="inlineStr">
        <is>
          <t>Reporting month</t>
        </is>
      </c>
      <c r="H6" s="3" t="inlineStr">
        <is>
          <t>Compliance</t>
        </is>
      </c>
    </row>
    <row r="7" ht="22" customHeight="1">
      <c r="B7" s="12" t="inlineStr">
        <is>
          <t>Jobs scheduled today</t>
        </is>
      </c>
      <c r="C7" s="13">
        <f>COUNTIFS(Data_Jobs!$I$2:$I$20000,TODAY())</f>
        <v/>
      </c>
      <c r="E7" s="12" t="inlineStr">
        <is>
          <t>Tonnes received (In)</t>
        </is>
      </c>
      <c r="F7" s="14">
        <f>SUMIFS(Data_WeighTickets!$W$2:$W$20000,Data_WeighTickets!$V$2:$V$20000,$C$4,Data_WeighTickets!$C$2:$C$20000,"In")</f>
        <v/>
      </c>
      <c r="H7" s="12" t="inlineStr">
        <is>
          <t>Permits / licences expired</t>
        </is>
      </c>
      <c r="I7" s="13">
        <f>COUNTIFS(Data_Permits!$G$2:$G$20000,"&gt;0",Data_Permits!$G$2:$G$20000,"&lt;"&amp;TODAY())</f>
        <v/>
      </c>
    </row>
    <row r="8" ht="22" customHeight="1">
      <c r="B8" s="12" t="inlineStr">
        <is>
          <t>Jobs completed today</t>
        </is>
      </c>
      <c r="C8" s="13">
        <f>COUNTIFS(Data_Jobs!$J$2:$J$20000,TODAY())</f>
        <v/>
      </c>
      <c r="E8" s="12" t="inlineStr">
        <is>
          <t>Tonnes despatched (Out)</t>
        </is>
      </c>
      <c r="F8" s="14">
        <f>SUMIFS(Data_WeighTickets!$W$2:$W$20000,Data_WeighTickets!$V$2:$V$20000,$C$4,Data_WeighTickets!$C$2:$C$20000,"Out")</f>
        <v/>
      </c>
      <c r="H8" s="12" t="inlineStr">
        <is>
          <t>Permits / licences due soon</t>
        </is>
      </c>
      <c r="I8" s="13">
        <f>COUNTIFS(Data_Permits!$G$2:$G$20000,"&gt;="&amp;TODAY(),Data_Permits!$G$2:$G$20000,"&lt;="&amp;TODAY()+cfgAlertAmberDays)</f>
        <v/>
      </c>
    </row>
    <row r="9" ht="22" customHeight="1">
      <c r="B9" s="12" t="inlineStr">
        <is>
          <t>Open jobs</t>
        </is>
      </c>
      <c r="C9" s="13">
        <f>COUNTIFS(Data_Jobs!$W$2:$W$20000,1)</f>
        <v/>
      </c>
      <c r="E9" s="12" t="inlineStr">
        <is>
          <t>Tonnes diverted from landfill</t>
        </is>
      </c>
      <c r="F9" s="14">
        <f>F8-F10</f>
        <v/>
      </c>
      <c r="H9" s="12" t="inlineStr">
        <is>
          <t>Vehicle renewals overdue</t>
        </is>
      </c>
      <c r="I9" s="13">
        <f>COUNTIFS(Data_Vehicles!$G$2:$G$20000,"&gt;0",Data_Vehicles!$G$2:$G$20000,"&lt;"&amp;TODAY())+COUNTIFS(Data_Vehicles!$H$2:$H$20000,"&gt;0",Data_Vehicles!$H$2:$H$20000,"&lt;"&amp;TODAY())+COUNTIFS(Data_Vehicles!$I$2:$I$20000,"&gt;0",Data_Vehicles!$I$2:$I$20000,"&lt;"&amp;TODAY())+COUNTIFS(Data_Vehicles!$J$2:$J$20000,"&gt;0",Data_Vehicles!$J$2:$J$20000,"&lt;"&amp;TODAY())+COUNTIFS(Data_Vehicles!$K$2:$K$20000,"&gt;0",Data_Vehicles!$K$2:$K$20000,"&lt;"&amp;TODAY())</f>
        <v/>
      </c>
    </row>
    <row r="10" ht="22" customHeight="1">
      <c r="B10" s="12" t="inlineStr">
        <is>
          <t>Containers on hire</t>
        </is>
      </c>
      <c r="C10" s="13">
        <f>COUNTIFS(Data_Assets!$F$2:$F$20000,"On Hire")</f>
        <v/>
      </c>
      <c r="E10" s="12" t="inlineStr">
        <is>
          <t>Tonnes to landfill</t>
        </is>
      </c>
      <c r="F10" s="14">
        <f>SUMIFS(Data_WeighTickets!$W$2:$W$20000,Data_WeighTickets!$V$2:$V$20000,$C$4,Data_WeighTickets!$C$2:$C$20000,"Out",Data_WeighTickets!$T$2:$T$20000,"Landfill")</f>
        <v/>
      </c>
      <c r="H10" s="12" t="inlineStr">
        <is>
          <t>Driver renewals overdue</t>
        </is>
      </c>
      <c r="I10" s="13">
        <f>COUNTIFS(Data_Drivers!$F$2:$F$20000,"&gt;0",Data_Drivers!$F$2:$F$20000,"&lt;"&amp;TODAY())+COUNTIFS(Data_Drivers!$G$2:$G$20000,"&gt;0",Data_Drivers!$G$2:$G$20000,"&lt;"&amp;TODAY())+COUNTIFS(Data_Drivers!$I$2:$I$20000,"&gt;0",Data_Drivers!$I$2:$I$20000,"&lt;"&amp;TODAY())</f>
        <v/>
      </c>
    </row>
    <row r="11" ht="22" customHeight="1">
      <c r="B11" s="12" t="inlineStr">
        <is>
          <t>Containers available</t>
        </is>
      </c>
      <c r="C11" s="13">
        <f>COUNTIFS(Data_Assets!$F$2:$F$20000,"Available")</f>
        <v/>
      </c>
      <c r="E11" s="12" t="inlineStr">
        <is>
          <t>Recovery rate</t>
        </is>
      </c>
      <c r="F11" s="15">
        <f>IF($F$8=0,"",$F$9/$F$8)</f>
        <v/>
      </c>
      <c r="H11" s="12" t="inlineStr">
        <is>
          <t>Calibration overdue</t>
        </is>
      </c>
      <c r="I11" s="13">
        <f>COUNTIFS(Data_Calibration!$H$2:$H$20000,"&gt;0",Data_Calibration!$H$2:$H$20000,"&lt;"&amp;TODAY())</f>
        <v/>
      </c>
    </row>
    <row r="12" ht="22" customHeight="1">
      <c r="B12" s="12" t="inlineStr">
        <is>
          <t>Containers off the road</t>
        </is>
      </c>
      <c r="C12" s="13">
        <f>COUNTIFS(Data_Assets!$F$2:$F$20000,"Maintenance")+COUNTIFS(Data_Assets!$F$2:$F$20000,"Repair")</f>
        <v/>
      </c>
      <c r="E12" s="12" t="inlineStr">
        <is>
          <t>Mass balance variance</t>
        </is>
      </c>
      <c r="F12" s="15">
        <f>IF($F$7=0,"",($F$7-$F$8)/$F$7)</f>
        <v/>
      </c>
      <c r="H12" s="12" t="inlineStr">
        <is>
          <t>Training expired</t>
        </is>
      </c>
      <c r="I12" s="13">
        <f>COUNTIFS(Data_Training!$H$2:$H$20000,"&gt;0",Data_Training!$H$2:$H$20000,"&lt;"&amp;TODAY())</f>
        <v/>
      </c>
    </row>
    <row r="13" ht="22" customHeight="1">
      <c r="B13" s="12" t="inlineStr">
        <is>
          <t>Hires over threshold</t>
        </is>
      </c>
      <c r="C13" s="13">
        <f>COUNTIFS(Data_Assets!$F$2:$F$20000,"On Hire",Data_Assets!$N$2:$N$20000,"&gt;="&amp;cfgLongHireDays)</f>
        <v/>
      </c>
      <c r="E13" s="12" t="inlineStr">
        <is>
          <t>Jobs completed</t>
        </is>
      </c>
      <c r="F13" s="13">
        <f>COUNTIFS(Data_Jobs!$V$2:$V$20000,$C$4,Data_Jobs!$J$2:$J$20000,"&gt;0")</f>
        <v/>
      </c>
      <c r="H13" s="12" t="inlineStr">
        <is>
          <t>Documents overdue review</t>
        </is>
      </c>
      <c r="I13" s="13">
        <f>COUNTIFS(Data_DocRegister!$J$2:$J$20000,"&gt;0",Data_DocRegister!$J$2:$J$20000,"&lt;"&amp;TODAY())</f>
        <v/>
      </c>
    </row>
    <row r="14" ht="22" customHeight="1">
      <c r="B14" s="12" t="inlineStr">
        <is>
          <t>Unmatched weigh tickets</t>
        </is>
      </c>
      <c r="C14" s="13">
        <f>COUNTIFS(Data_WeighTickets!$Q$2:$Q$20000,"No")</f>
        <v/>
      </c>
      <c r="E14" s="12" t="inlineStr">
        <is>
          <t>Transfer notes raised</t>
        </is>
      </c>
      <c r="F14" s="13">
        <f>COUNTIFS(Data_TransferNotes!$S$2:$S$20000,$C$4)</f>
        <v/>
      </c>
      <c r="H14" s="12" t="inlineStr">
        <is>
          <t>NCRs open</t>
        </is>
      </c>
      <c r="I14" s="13">
        <f>COUNTIFS(Data_NCR!$Q$2:$Q$20000,"Open")+COUNTIFS(Data_NCR!$Q$2:$Q$20000,"In Progress")+COUNTIFS(Data_NCR!$Q$2:$Q$20000,"Awaiting Verification")</f>
        <v/>
      </c>
    </row>
    <row r="15" ht="22" customHeight="1">
      <c r="B15" s="12" t="inlineStr">
        <is>
          <t>Draft invoice lines</t>
        </is>
      </c>
      <c r="C15" s="13">
        <f>COUNTIFS(Data_InvoiceLines!$N$2:$N$20000,"Draft")</f>
        <v/>
      </c>
      <c r="E15" s="12" t="inlineStr">
        <is>
          <t>Invoiced (net)</t>
        </is>
      </c>
      <c r="F15" s="16">
        <f>SUMIFS(Data_InvoiceLines!$J$2:$J$20000,Data_InvoiceLines!$P$2:$P$20000,$C$4)</f>
        <v/>
      </c>
      <c r="H15" s="12" t="inlineStr">
        <is>
          <t>NCR actions overdue</t>
        </is>
      </c>
      <c r="I15" s="13">
        <f>COUNTIFS(Data_NCR!$S$2:$S$20000,"YES")</f>
        <v/>
      </c>
    </row>
    <row r="16" ht="22" customHeight="1">
      <c r="B16" s="12" t="inlineStr">
        <is>
          <t>Draft value</t>
        </is>
      </c>
      <c r="C16" s="16">
        <f>SUMIFS(Data_InvoiceLines!$J$2:$J$20000,Data_InvoiceLines!$N$2:$N$20000,"Draft")</f>
        <v/>
      </c>
      <c r="E16" s="12" t="inlineStr">
        <is>
          <t>Average £ per tonne received</t>
        </is>
      </c>
      <c r="F16" s="17">
        <f>IF($F$7=0,"",$F$15/$F$7)</f>
        <v/>
      </c>
      <c r="H16" s="12" t="inlineStr">
        <is>
          <t>Incidents open</t>
        </is>
      </c>
      <c r="I16" s="13">
        <f>COUNTIFS(Data_Incidents!$P$2:$P$20000,"Open")+COUNTIFS(Data_Incidents!$P$2:$P$20000,"In Progress")</f>
        <v/>
      </c>
    </row>
    <row r="17" ht="22" customHeight="1">
      <c r="H17" s="12" t="inlineStr">
        <is>
          <t>Audits overdue</t>
        </is>
      </c>
      <c r="I17" s="13">
        <f>COUNTIFS(Data_Audits!$E$2:$E$20000,"&lt;"&amp;TODAY(),Data_Audits!$E$2:$E$20000,"&gt;0",Data_Audits!$F$2:$F$20000,"")</f>
        <v/>
      </c>
    </row>
    <row r="19">
      <c r="B19" s="3" t="inlineStr">
        <is>
          <t>Rolling twelve months</t>
        </is>
      </c>
    </row>
    <row r="20">
      <c r="B20" s="18" t="inlineStr">
        <is>
          <t>Month</t>
        </is>
      </c>
      <c r="C20" s="18" t="inlineStr">
        <is>
          <t>Tonnes in</t>
        </is>
      </c>
      <c r="D20" s="18" t="inlineStr">
        <is>
          <t>Tonnes out</t>
        </is>
      </c>
      <c r="E20" s="18" t="inlineStr">
        <is>
          <t>Diverted</t>
        </is>
      </c>
      <c r="F20" s="18" t="inlineStr">
        <is>
          <t>Landfill</t>
        </is>
      </c>
      <c r="G20" s="18" t="inlineStr">
        <is>
          <t>Recovery %</t>
        </is>
      </c>
      <c r="H20" s="18" t="inlineStr">
        <is>
          <t>Jobs done</t>
        </is>
      </c>
      <c r="I20" s="18" t="inlineStr">
        <is>
          <t>Invoiced net</t>
        </is>
      </c>
    </row>
    <row r="21">
      <c r="B21" s="19">
        <f>DATE(YEAR($C$4),MONTH($C$4)-11,1)</f>
        <v/>
      </c>
      <c r="C21" s="20">
        <f>SUMIFS(Data_WeighTickets!$W$2:$W$20000,Data_WeighTickets!$V$2:$V$20000,$B21,Data_WeighTickets!$C$2:$C$20000,"In")</f>
        <v/>
      </c>
      <c r="D21" s="20">
        <f>SUMIFS(Data_WeighTickets!$W$2:$W$20000,Data_WeighTickets!$V$2:$V$20000,$B21,Data_WeighTickets!$C$2:$C$20000,"Out")</f>
        <v/>
      </c>
      <c r="E21" s="20">
        <f>$D21-$F21</f>
        <v/>
      </c>
      <c r="F21" s="20">
        <f>SUMIFS(Data_WeighTickets!$W$2:$W$20000,Data_WeighTickets!$V$2:$V$20000,$B21,Data_WeighTickets!$C$2:$C$20000,"Out",Data_WeighTickets!$T$2:$T$20000,"Landfill")</f>
        <v/>
      </c>
      <c r="G21" s="21">
        <f>IF($D21=0,"",$E21/$D21)</f>
        <v/>
      </c>
      <c r="H21" s="22">
        <f>COUNTIFS(Data_Jobs!$V$2:$V$20000,$B21,Data_Jobs!$J$2:$J$20000,"&gt;0")</f>
        <v/>
      </c>
      <c r="I21" s="23">
        <f>SUMIFS(Data_InvoiceLines!$J$2:$J$20000,Data_InvoiceLines!$P$2:$P$20000,$B21)</f>
        <v/>
      </c>
    </row>
    <row r="22">
      <c r="B22" s="19">
        <f>EDATE($B21,1)</f>
        <v/>
      </c>
      <c r="C22" s="20">
        <f>SUMIFS(Data_WeighTickets!$W$2:$W$20000,Data_WeighTickets!$V$2:$V$20000,$B22,Data_WeighTickets!$C$2:$C$20000,"In")</f>
        <v/>
      </c>
      <c r="D22" s="20">
        <f>SUMIFS(Data_WeighTickets!$W$2:$W$20000,Data_WeighTickets!$V$2:$V$20000,$B22,Data_WeighTickets!$C$2:$C$20000,"Out")</f>
        <v/>
      </c>
      <c r="E22" s="20">
        <f>$D22-$F22</f>
        <v/>
      </c>
      <c r="F22" s="20">
        <f>SUMIFS(Data_WeighTickets!$W$2:$W$20000,Data_WeighTickets!$V$2:$V$20000,$B22,Data_WeighTickets!$C$2:$C$20000,"Out",Data_WeighTickets!$T$2:$T$20000,"Landfill")</f>
        <v/>
      </c>
      <c r="G22" s="21">
        <f>IF($D22=0,"",$E22/$D22)</f>
        <v/>
      </c>
      <c r="H22" s="22">
        <f>COUNTIFS(Data_Jobs!$V$2:$V$20000,$B22,Data_Jobs!$J$2:$J$20000,"&gt;0")</f>
        <v/>
      </c>
      <c r="I22" s="23">
        <f>SUMIFS(Data_InvoiceLines!$J$2:$J$20000,Data_InvoiceLines!$P$2:$P$20000,$B22)</f>
        <v/>
      </c>
    </row>
    <row r="23">
      <c r="B23" s="19">
        <f>EDATE($B22,1)</f>
        <v/>
      </c>
      <c r="C23" s="20">
        <f>SUMIFS(Data_WeighTickets!$W$2:$W$20000,Data_WeighTickets!$V$2:$V$20000,$B23,Data_WeighTickets!$C$2:$C$20000,"In")</f>
        <v/>
      </c>
      <c r="D23" s="20">
        <f>SUMIFS(Data_WeighTickets!$W$2:$W$20000,Data_WeighTickets!$V$2:$V$20000,$B23,Data_WeighTickets!$C$2:$C$20000,"Out")</f>
        <v/>
      </c>
      <c r="E23" s="20">
        <f>$D23-$F23</f>
        <v/>
      </c>
      <c r="F23" s="20">
        <f>SUMIFS(Data_WeighTickets!$W$2:$W$20000,Data_WeighTickets!$V$2:$V$20000,$B23,Data_WeighTickets!$C$2:$C$20000,"Out",Data_WeighTickets!$T$2:$T$20000,"Landfill")</f>
        <v/>
      </c>
      <c r="G23" s="21">
        <f>IF($D23=0,"",$E23/$D23)</f>
        <v/>
      </c>
      <c r="H23" s="22">
        <f>COUNTIFS(Data_Jobs!$V$2:$V$20000,$B23,Data_Jobs!$J$2:$J$20000,"&gt;0")</f>
        <v/>
      </c>
      <c r="I23" s="23">
        <f>SUMIFS(Data_InvoiceLines!$J$2:$J$20000,Data_InvoiceLines!$P$2:$P$20000,$B23)</f>
        <v/>
      </c>
    </row>
    <row r="24">
      <c r="B24" s="19">
        <f>EDATE($B23,1)</f>
        <v/>
      </c>
      <c r="C24" s="20">
        <f>SUMIFS(Data_WeighTickets!$W$2:$W$20000,Data_WeighTickets!$V$2:$V$20000,$B24,Data_WeighTickets!$C$2:$C$20000,"In")</f>
        <v/>
      </c>
      <c r="D24" s="20">
        <f>SUMIFS(Data_WeighTickets!$W$2:$W$20000,Data_WeighTickets!$V$2:$V$20000,$B24,Data_WeighTickets!$C$2:$C$20000,"Out")</f>
        <v/>
      </c>
      <c r="E24" s="20">
        <f>$D24-$F24</f>
        <v/>
      </c>
      <c r="F24" s="20">
        <f>SUMIFS(Data_WeighTickets!$W$2:$W$20000,Data_WeighTickets!$V$2:$V$20000,$B24,Data_WeighTickets!$C$2:$C$20000,"Out",Data_WeighTickets!$T$2:$T$20000,"Landfill")</f>
        <v/>
      </c>
      <c r="G24" s="21">
        <f>IF($D24=0,"",$E24/$D24)</f>
        <v/>
      </c>
      <c r="H24" s="22">
        <f>COUNTIFS(Data_Jobs!$V$2:$V$20000,$B24,Data_Jobs!$J$2:$J$20000,"&gt;0")</f>
        <v/>
      </c>
      <c r="I24" s="23">
        <f>SUMIFS(Data_InvoiceLines!$J$2:$J$20000,Data_InvoiceLines!$P$2:$P$20000,$B24)</f>
        <v/>
      </c>
    </row>
    <row r="25">
      <c r="B25" s="19">
        <f>EDATE($B24,1)</f>
        <v/>
      </c>
      <c r="C25" s="20">
        <f>SUMIFS(Data_WeighTickets!$W$2:$W$20000,Data_WeighTickets!$V$2:$V$20000,$B25,Data_WeighTickets!$C$2:$C$20000,"In")</f>
        <v/>
      </c>
      <c r="D25" s="20">
        <f>SUMIFS(Data_WeighTickets!$W$2:$W$20000,Data_WeighTickets!$V$2:$V$20000,$B25,Data_WeighTickets!$C$2:$C$20000,"Out")</f>
        <v/>
      </c>
      <c r="E25" s="20">
        <f>$D25-$F25</f>
        <v/>
      </c>
      <c r="F25" s="20">
        <f>SUMIFS(Data_WeighTickets!$W$2:$W$20000,Data_WeighTickets!$V$2:$V$20000,$B25,Data_WeighTickets!$C$2:$C$20000,"Out",Data_WeighTickets!$T$2:$T$20000,"Landfill")</f>
        <v/>
      </c>
      <c r="G25" s="21">
        <f>IF($D25=0,"",$E25/$D25)</f>
        <v/>
      </c>
      <c r="H25" s="22">
        <f>COUNTIFS(Data_Jobs!$V$2:$V$20000,$B25,Data_Jobs!$J$2:$J$20000,"&gt;0")</f>
        <v/>
      </c>
      <c r="I25" s="23">
        <f>SUMIFS(Data_InvoiceLines!$J$2:$J$20000,Data_InvoiceLines!$P$2:$P$20000,$B25)</f>
        <v/>
      </c>
    </row>
    <row r="26">
      <c r="B26" s="19">
        <f>EDATE($B25,1)</f>
        <v/>
      </c>
      <c r="C26" s="20">
        <f>SUMIFS(Data_WeighTickets!$W$2:$W$20000,Data_WeighTickets!$V$2:$V$20000,$B26,Data_WeighTickets!$C$2:$C$20000,"In")</f>
        <v/>
      </c>
      <c r="D26" s="20">
        <f>SUMIFS(Data_WeighTickets!$W$2:$W$20000,Data_WeighTickets!$V$2:$V$20000,$B26,Data_WeighTickets!$C$2:$C$20000,"Out")</f>
        <v/>
      </c>
      <c r="E26" s="20">
        <f>$D26-$F26</f>
        <v/>
      </c>
      <c r="F26" s="20">
        <f>SUMIFS(Data_WeighTickets!$W$2:$W$20000,Data_WeighTickets!$V$2:$V$20000,$B26,Data_WeighTickets!$C$2:$C$20000,"Out",Data_WeighTickets!$T$2:$T$20000,"Landfill")</f>
        <v/>
      </c>
      <c r="G26" s="21">
        <f>IF($D26=0,"",$E26/$D26)</f>
        <v/>
      </c>
      <c r="H26" s="22">
        <f>COUNTIFS(Data_Jobs!$V$2:$V$20000,$B26,Data_Jobs!$J$2:$J$20000,"&gt;0")</f>
        <v/>
      </c>
      <c r="I26" s="23">
        <f>SUMIFS(Data_InvoiceLines!$J$2:$J$20000,Data_InvoiceLines!$P$2:$P$20000,$B26)</f>
        <v/>
      </c>
    </row>
    <row r="27">
      <c r="B27" s="19">
        <f>EDATE($B26,1)</f>
        <v/>
      </c>
      <c r="C27" s="20">
        <f>SUMIFS(Data_WeighTickets!$W$2:$W$20000,Data_WeighTickets!$V$2:$V$20000,$B27,Data_WeighTickets!$C$2:$C$20000,"In")</f>
        <v/>
      </c>
      <c r="D27" s="20">
        <f>SUMIFS(Data_WeighTickets!$W$2:$W$20000,Data_WeighTickets!$V$2:$V$20000,$B27,Data_WeighTickets!$C$2:$C$20000,"Out")</f>
        <v/>
      </c>
      <c r="E27" s="20">
        <f>$D27-$F27</f>
        <v/>
      </c>
      <c r="F27" s="20">
        <f>SUMIFS(Data_WeighTickets!$W$2:$W$20000,Data_WeighTickets!$V$2:$V$20000,$B27,Data_WeighTickets!$C$2:$C$20000,"Out",Data_WeighTickets!$T$2:$T$20000,"Landfill")</f>
        <v/>
      </c>
      <c r="G27" s="21">
        <f>IF($D27=0,"",$E27/$D27)</f>
        <v/>
      </c>
      <c r="H27" s="22">
        <f>COUNTIFS(Data_Jobs!$V$2:$V$20000,$B27,Data_Jobs!$J$2:$J$20000,"&gt;0")</f>
        <v/>
      </c>
      <c r="I27" s="23">
        <f>SUMIFS(Data_InvoiceLines!$J$2:$J$20000,Data_InvoiceLines!$P$2:$P$20000,$B27)</f>
        <v/>
      </c>
    </row>
    <row r="28">
      <c r="B28" s="19">
        <f>EDATE($B27,1)</f>
        <v/>
      </c>
      <c r="C28" s="20">
        <f>SUMIFS(Data_WeighTickets!$W$2:$W$20000,Data_WeighTickets!$V$2:$V$20000,$B28,Data_WeighTickets!$C$2:$C$20000,"In")</f>
        <v/>
      </c>
      <c r="D28" s="20">
        <f>SUMIFS(Data_WeighTickets!$W$2:$W$20000,Data_WeighTickets!$V$2:$V$20000,$B28,Data_WeighTickets!$C$2:$C$20000,"Out")</f>
        <v/>
      </c>
      <c r="E28" s="20">
        <f>$D28-$F28</f>
        <v/>
      </c>
      <c r="F28" s="20">
        <f>SUMIFS(Data_WeighTickets!$W$2:$W$20000,Data_WeighTickets!$V$2:$V$20000,$B28,Data_WeighTickets!$C$2:$C$20000,"Out",Data_WeighTickets!$T$2:$T$20000,"Landfill")</f>
        <v/>
      </c>
      <c r="G28" s="21">
        <f>IF($D28=0,"",$E28/$D28)</f>
        <v/>
      </c>
      <c r="H28" s="22">
        <f>COUNTIFS(Data_Jobs!$V$2:$V$20000,$B28,Data_Jobs!$J$2:$J$20000,"&gt;0")</f>
        <v/>
      </c>
      <c r="I28" s="23">
        <f>SUMIFS(Data_InvoiceLines!$J$2:$J$20000,Data_InvoiceLines!$P$2:$P$20000,$B28)</f>
        <v/>
      </c>
    </row>
    <row r="29">
      <c r="B29" s="19">
        <f>EDATE($B28,1)</f>
        <v/>
      </c>
      <c r="C29" s="20">
        <f>SUMIFS(Data_WeighTickets!$W$2:$W$20000,Data_WeighTickets!$V$2:$V$20000,$B29,Data_WeighTickets!$C$2:$C$20000,"In")</f>
        <v/>
      </c>
      <c r="D29" s="20">
        <f>SUMIFS(Data_WeighTickets!$W$2:$W$20000,Data_WeighTickets!$V$2:$V$20000,$B29,Data_WeighTickets!$C$2:$C$20000,"Out")</f>
        <v/>
      </c>
      <c r="E29" s="20">
        <f>$D29-$F29</f>
        <v/>
      </c>
      <c r="F29" s="20">
        <f>SUMIFS(Data_WeighTickets!$W$2:$W$20000,Data_WeighTickets!$V$2:$V$20000,$B29,Data_WeighTickets!$C$2:$C$20000,"Out",Data_WeighTickets!$T$2:$T$20000,"Landfill")</f>
        <v/>
      </c>
      <c r="G29" s="21">
        <f>IF($D29=0,"",$E29/$D29)</f>
        <v/>
      </c>
      <c r="H29" s="22">
        <f>COUNTIFS(Data_Jobs!$V$2:$V$20000,$B29,Data_Jobs!$J$2:$J$20000,"&gt;0")</f>
        <v/>
      </c>
      <c r="I29" s="23">
        <f>SUMIFS(Data_InvoiceLines!$J$2:$J$20000,Data_InvoiceLines!$P$2:$P$20000,$B29)</f>
        <v/>
      </c>
    </row>
    <row r="30">
      <c r="B30" s="19">
        <f>EDATE($B29,1)</f>
        <v/>
      </c>
      <c r="C30" s="20">
        <f>SUMIFS(Data_WeighTickets!$W$2:$W$20000,Data_WeighTickets!$V$2:$V$20000,$B30,Data_WeighTickets!$C$2:$C$20000,"In")</f>
        <v/>
      </c>
      <c r="D30" s="20">
        <f>SUMIFS(Data_WeighTickets!$W$2:$W$20000,Data_WeighTickets!$V$2:$V$20000,$B30,Data_WeighTickets!$C$2:$C$20000,"Out")</f>
        <v/>
      </c>
      <c r="E30" s="20">
        <f>$D30-$F30</f>
        <v/>
      </c>
      <c r="F30" s="20">
        <f>SUMIFS(Data_WeighTickets!$W$2:$W$20000,Data_WeighTickets!$V$2:$V$20000,$B30,Data_WeighTickets!$C$2:$C$20000,"Out",Data_WeighTickets!$T$2:$T$20000,"Landfill")</f>
        <v/>
      </c>
      <c r="G30" s="21">
        <f>IF($D30=0,"",$E30/$D30)</f>
        <v/>
      </c>
      <c r="H30" s="22">
        <f>COUNTIFS(Data_Jobs!$V$2:$V$20000,$B30,Data_Jobs!$J$2:$J$20000,"&gt;0")</f>
        <v/>
      </c>
      <c r="I30" s="23">
        <f>SUMIFS(Data_InvoiceLines!$J$2:$J$20000,Data_InvoiceLines!$P$2:$P$20000,$B30)</f>
        <v/>
      </c>
    </row>
    <row r="31">
      <c r="B31" s="19">
        <f>EDATE($B30,1)</f>
        <v/>
      </c>
      <c r="C31" s="20">
        <f>SUMIFS(Data_WeighTickets!$W$2:$W$20000,Data_WeighTickets!$V$2:$V$20000,$B31,Data_WeighTickets!$C$2:$C$20000,"In")</f>
        <v/>
      </c>
      <c r="D31" s="20">
        <f>SUMIFS(Data_WeighTickets!$W$2:$W$20000,Data_WeighTickets!$V$2:$V$20000,$B31,Data_WeighTickets!$C$2:$C$20000,"Out")</f>
        <v/>
      </c>
      <c r="E31" s="20">
        <f>$D31-$F31</f>
        <v/>
      </c>
      <c r="F31" s="20">
        <f>SUMIFS(Data_WeighTickets!$W$2:$W$20000,Data_WeighTickets!$V$2:$V$20000,$B31,Data_WeighTickets!$C$2:$C$20000,"Out",Data_WeighTickets!$T$2:$T$20000,"Landfill")</f>
        <v/>
      </c>
      <c r="G31" s="21">
        <f>IF($D31=0,"",$E31/$D31)</f>
        <v/>
      </c>
      <c r="H31" s="22">
        <f>COUNTIFS(Data_Jobs!$V$2:$V$20000,$B31,Data_Jobs!$J$2:$J$20000,"&gt;0")</f>
        <v/>
      </c>
      <c r="I31" s="23">
        <f>SUMIFS(Data_InvoiceLines!$J$2:$J$20000,Data_InvoiceLines!$P$2:$P$20000,$B31)</f>
        <v/>
      </c>
    </row>
    <row r="32">
      <c r="B32" s="19">
        <f>EDATE($B31,1)</f>
        <v/>
      </c>
      <c r="C32" s="20">
        <f>SUMIFS(Data_WeighTickets!$W$2:$W$20000,Data_WeighTickets!$V$2:$V$20000,$B32,Data_WeighTickets!$C$2:$C$20000,"In")</f>
        <v/>
      </c>
      <c r="D32" s="20">
        <f>SUMIFS(Data_WeighTickets!$W$2:$W$20000,Data_WeighTickets!$V$2:$V$20000,$B32,Data_WeighTickets!$C$2:$C$20000,"Out")</f>
        <v/>
      </c>
      <c r="E32" s="20">
        <f>$D32-$F32</f>
        <v/>
      </c>
      <c r="F32" s="20">
        <f>SUMIFS(Data_WeighTickets!$W$2:$W$20000,Data_WeighTickets!$V$2:$V$20000,$B32,Data_WeighTickets!$C$2:$C$20000,"Out",Data_WeighTickets!$T$2:$T$20000,"Landfill")</f>
        <v/>
      </c>
      <c r="G32" s="21">
        <f>IF($D32=0,"",$E32/$D32)</f>
        <v/>
      </c>
      <c r="H32" s="22">
        <f>COUNTIFS(Data_Jobs!$V$2:$V$20000,$B32,Data_Jobs!$J$2:$J$20000,"&gt;0")</f>
        <v/>
      </c>
      <c r="I32" s="23">
        <f>SUMIFS(Data_InvoiceLines!$J$2:$J$20000,Data_InvoiceLines!$P$2:$P$20000,$B32)</f>
        <v/>
      </c>
    </row>
    <row r="33">
      <c r="B33" s="24" t="inlineStr">
        <is>
          <t>Twelve month total</t>
        </is>
      </c>
      <c r="C33" s="25">
        <f>SUM(C21:C32)</f>
        <v/>
      </c>
      <c r="D33" s="25">
        <f>SUM(D21:D32)</f>
        <v/>
      </c>
      <c r="E33" s="25">
        <f>SUM(E21:E32)</f>
        <v/>
      </c>
      <c r="F33" s="25">
        <f>SUM(F21:F32)</f>
        <v/>
      </c>
      <c r="G33" s="26">
        <f>IF($D33=0,"",$E33/$D33)</f>
        <v/>
      </c>
      <c r="H33" s="27">
        <f>SUM(H21:H32)</f>
        <v/>
      </c>
      <c r="I33" s="28">
        <f>SUM(I21:I32)</f>
        <v/>
      </c>
    </row>
    <row r="35">
      <c r="B35" s="3" t="inlineStr">
        <is>
          <t>How the recovery rate is worked out</t>
        </is>
      </c>
    </row>
    <row r="36" ht="28" customHeight="1">
      <c r="B36" s="5" t="inlineStr">
        <is>
          <t>Every weighbridge ticket carries an EWC code. The EWC code carries a RecoveryRoute on the WasteStreams sheet of the Master workbook - Recycling, Reuse, Recovery (Energy), Treatment or Landfill.</t>
        </is>
      </c>
    </row>
    <row r="37" ht="28" customHeight="1">
      <c r="B37" s="5" t="inlineStr">
        <is>
          <t>Diverted tonnage is everything despatched on an Out ticket whose route is not Landfill. The rate is diverted divided by total despatched.</t>
        </is>
      </c>
    </row>
    <row r="38" ht="28" customHeight="1">
      <c r="B38" s="5" t="inlineStr">
        <is>
          <t>So the number is only ever as honest as the RecoveryRoute column. Review it whenever you change outlet, and keep the outlet permit checks in tblOutlets up to date - that is the evidence behind the figure.</t>
        </is>
      </c>
    </row>
  </sheetData>
  <mergeCells count="3">
    <mergeCell ref="B38:I38"/>
    <mergeCell ref="B36:I36"/>
    <mergeCell ref="B37:I37"/>
  </mergeCells>
  <conditionalFormatting sqref="I7">
    <cfRule type="cellIs" priority="1" operator="greaterThan" dxfId="0">
      <formula>0</formula>
    </cfRule>
  </conditionalFormatting>
  <conditionalFormatting sqref="I8">
    <cfRule type="cellIs" priority="2" operator="greaterThan" dxfId="0">
      <formula>0</formula>
    </cfRule>
    <cfRule type="cellIs" priority="12" operator="greaterThan" dxfId="1">
      <formula>0</formula>
    </cfRule>
  </conditionalFormatting>
  <conditionalFormatting sqref="I9">
    <cfRule type="cellIs" priority="3" operator="greaterThan" dxfId="0">
      <formula>0</formula>
    </cfRule>
  </conditionalFormatting>
  <conditionalFormatting sqref="I10">
    <cfRule type="cellIs" priority="4" operator="greaterThan" dxfId="0">
      <formula>0</formula>
    </cfRule>
  </conditionalFormatting>
  <conditionalFormatting sqref="I11">
    <cfRule type="cellIs" priority="5" operator="greaterThan" dxfId="0">
      <formula>0</formula>
    </cfRule>
  </conditionalFormatting>
  <conditionalFormatting sqref="I12">
    <cfRule type="cellIs" priority="6" operator="greaterThan" dxfId="0">
      <formula>0</formula>
    </cfRule>
  </conditionalFormatting>
  <conditionalFormatting sqref="I13">
    <cfRule type="cellIs" priority="7" operator="greaterThan" dxfId="0">
      <formula>0</formula>
    </cfRule>
  </conditionalFormatting>
  <conditionalFormatting sqref="I14">
    <cfRule type="cellIs" priority="8" operator="greaterThan" dxfId="0">
      <formula>0</formula>
    </cfRule>
  </conditionalFormatting>
  <conditionalFormatting sqref="I15">
    <cfRule type="cellIs" priority="9" operator="greaterThan" dxfId="0">
      <formula>0</formula>
    </cfRule>
  </conditionalFormatting>
  <conditionalFormatting sqref="I16">
    <cfRule type="cellIs" priority="10" operator="greaterThan" dxfId="0">
      <formula>0</formula>
    </cfRule>
  </conditionalFormatting>
  <conditionalFormatting sqref="I17">
    <cfRule type="cellIs" priority="11" operator="greaterThan" dxfId="0">
      <formula>0</formula>
    </cfRule>
  </conditionalFormatting>
  <conditionalFormatting sqref="G21:G33">
    <cfRule type="expression" priority="13" dxfId="2" stopIfTrue="1">
      <formula>AND(ISNUMBER(G21),G21&gt;=cfgRecoveryTargetPct)</formula>
    </cfRule>
    <cfRule type="expression" priority="14" dxfId="1" stopIfTrue="1">
      <formula>AND(ISNUMBER(G21),G21&gt;=cfgRecoveryTargetPct-0.05)</formula>
    </cfRule>
    <cfRule type="expression" priority="15" dxfId="3" stopIfTrue="1">
      <formula>ISNUMBER(G21)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6E8C79"/>
    <outlinePr summaryBelow="1" summaryRight="1"/>
    <pageSetUpPr/>
  </sheetPr>
  <dimension ref="A1:N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24" customWidth="1" min="5" max="5"/>
    <col width="10" customWidth="1" min="6" max="6"/>
    <col width="16" customWidth="1" min="7" max="7"/>
    <col width="11" customWidth="1" min="8" max="8"/>
    <col width="14" customWidth="1" min="9" max="9"/>
    <col width="12" customWidth="1" min="10" max="10"/>
    <col width="18" customWidth="1" min="11" max="11"/>
    <col width="12" customWidth="1" min="12" max="12"/>
    <col width="13" customWidth="1" min="13" max="13"/>
    <col width="40" customWidth="1" min="14" max="14"/>
  </cols>
  <sheetData>
    <row r="1">
      <c r="A1" s="1" t="inlineStr">
        <is>
          <t>Today's job board</t>
        </is>
      </c>
    </row>
    <row r="2" ht="32" customHeight="1">
      <c r="A2" s="29" t="inlineStr">
        <is>
          <t>Rebuilt by the Today button. Sorted by scheduled date then customer. Editing this sheet changes nothing - make the change in the Operations workbook, or through Job Entry, then re-run.</t>
        </is>
      </c>
    </row>
    <row r="4" ht="28" customHeight="1">
      <c r="A4" s="30" t="inlineStr">
        <is>
          <t>JobID</t>
        </is>
      </c>
      <c r="B4" s="30" t="inlineStr">
        <is>
          <t>Scheduled</t>
        </is>
      </c>
      <c r="C4" s="30" t="inlineStr">
        <is>
          <t>Service</t>
        </is>
      </c>
      <c r="D4" s="30" t="inlineStr">
        <is>
          <t>Customer</t>
        </is>
      </c>
      <c r="E4" s="30" t="inlineStr">
        <is>
          <t>Site</t>
        </is>
      </c>
      <c r="F4" s="30" t="inlineStr">
        <is>
          <t>Postcode</t>
        </is>
      </c>
      <c r="G4" s="30" t="inlineStr">
        <is>
          <t>Container</t>
        </is>
      </c>
      <c r="H4" s="30" t="inlineStr">
        <is>
          <t>Asset</t>
        </is>
      </c>
      <c r="I4" s="30" t="inlineStr">
        <is>
          <t>Driver</t>
        </is>
      </c>
      <c r="J4" s="30" t="inlineStr">
        <is>
          <t>Vehicle</t>
        </is>
      </c>
      <c r="K4" s="30" t="inlineStr">
        <is>
          <t>Status</t>
        </is>
      </c>
      <c r="L4" s="30" t="inlineStr">
        <is>
          <t>Days on hire</t>
        </is>
      </c>
      <c r="M4" s="30" t="inlineStr">
        <is>
          <t>Permit</t>
        </is>
      </c>
      <c r="N4" s="30" t="inlineStr">
        <is>
          <t>Notes</t>
        </is>
      </c>
    </row>
    <row r="5"/>
  </sheetData>
  <mergeCells count="1"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894A"/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8" customWidth="1" min="4" max="4"/>
    <col width="22" customWidth="1" min="5" max="5"/>
    <col width="18" customWidth="1" min="6" max="6"/>
    <col width="40" customWidth="1" min="7" max="7"/>
    <col width="18" customWidth="1" min="8" max="8"/>
    <col width="34" customWidth="1" min="9" max="9"/>
  </cols>
  <sheetData>
    <row r="1">
      <c r="A1" s="1" t="inlineStr">
        <is>
          <t>Compliance alerts</t>
        </is>
      </c>
    </row>
    <row r="2" ht="32" customHeight="1">
      <c r="A2" s="29" t="inlineStr">
        <is>
          <t>Rebuilt by the Alerts button from every dated field across the three workbooks. Red is already past, amber falls due inside Config &gt; AlertAmberDays. An empty sheet means nothing is due.</t>
        </is>
      </c>
    </row>
    <row r="4" ht="28" customHeight="1">
      <c r="A4" s="30" t="inlineStr">
        <is>
          <t>Severity</t>
        </is>
      </c>
      <c r="B4" s="30" t="inlineStr">
        <is>
          <t>Days</t>
        </is>
      </c>
      <c r="C4" s="30" t="inlineStr">
        <is>
          <t>Due</t>
        </is>
      </c>
      <c r="D4" s="30" t="inlineStr">
        <is>
          <t>Area</t>
        </is>
      </c>
      <c r="E4" s="30" t="inlineStr">
        <is>
          <t>Record</t>
        </is>
      </c>
      <c r="F4" s="30" t="inlineStr">
        <is>
          <t>Reference</t>
        </is>
      </c>
      <c r="G4" s="30" t="inlineStr">
        <is>
          <t>What is due</t>
        </is>
      </c>
      <c r="H4" s="30" t="inlineStr">
        <is>
          <t>Owner</t>
        </is>
      </c>
      <c r="I4" s="30" t="inlineStr">
        <is>
          <t>Where to fix it</t>
        </is>
      </c>
    </row>
    <row r="5"/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7BB0"/>
    <outlinePr summaryBelow="1" summaryRight="1"/>
    <pageSetUpPr/>
  </sheetPr>
  <dimension ref="A1:N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8" customWidth="1" min="4" max="4"/>
    <col width="44" customWidth="1" min="5" max="5"/>
    <col width="17" customWidth="1" min="6" max="6"/>
    <col width="26" customWidth="1" min="7" max="7"/>
    <col width="12" customWidth="1" min="8" max="8"/>
    <col width="12" customWidth="1" min="9" max="9"/>
    <col width="10" customWidth="1" min="10" max="10"/>
    <col width="14" customWidth="1" min="11" max="11"/>
    <col width="12" customWidth="1" min="12" max="12"/>
    <col width="12" customWidth="1" min="13" max="13"/>
    <col width="22" customWidth="1" min="14" max="14"/>
  </cols>
  <sheetData>
    <row r="1">
      <c r="A1" s="1" t="inlineStr">
        <is>
          <t>Outlook intake review</t>
        </is>
      </c>
    </row>
    <row r="2" ht="32" customHeight="1">
      <c r="A2" s="29" t="inlineStr">
        <is>
          <t>Rebuilt by the Scrape Outlook button. Work down the list: set an outcome, then use Convert to Job on the rows that are bookings. Nothing here is written back until you act on it.</t>
        </is>
      </c>
    </row>
    <row r="4" ht="28" customHeight="1">
      <c r="A4" s="30" t="inlineStr">
        <is>
          <t>EmailID</t>
        </is>
      </c>
      <c r="B4" s="30" t="inlineStr">
        <is>
          <t>Received</t>
        </is>
      </c>
      <c r="C4" s="30" t="inlineStr">
        <is>
          <t>From</t>
        </is>
      </c>
      <c r="D4" s="30" t="inlineStr">
        <is>
          <t>Sender email</t>
        </is>
      </c>
      <c r="E4" s="30" t="inlineStr">
        <is>
          <t>Subject</t>
        </is>
      </c>
      <c r="F4" s="30" t="inlineStr">
        <is>
          <t>Category</t>
        </is>
      </c>
      <c r="G4" s="30" t="inlineStr">
        <is>
          <t>Suggested action</t>
        </is>
      </c>
      <c r="H4" s="30" t="inlineStr">
        <is>
          <t>Customer</t>
        </is>
      </c>
      <c r="I4" s="30" t="inlineStr">
        <is>
          <t>Job</t>
        </is>
      </c>
      <c r="J4" s="30" t="inlineStr">
        <is>
          <t>Postcode</t>
        </is>
      </c>
      <c r="K4" s="30" t="inlineStr">
        <is>
          <t>Container</t>
        </is>
      </c>
      <c r="L4" s="30" t="inlineStr">
        <is>
          <t>Wanted for</t>
        </is>
      </c>
      <c r="M4" s="30" t="inlineStr">
        <is>
          <t>Attachments</t>
        </is>
      </c>
      <c r="N4" s="30" t="inlineStr">
        <is>
          <t>Outcome</t>
        </is>
      </c>
    </row>
    <row r="5"/>
  </sheetData>
  <mergeCells count="1">
    <mergeCell ref="A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6E8C"/>
    <outlinePr summaryBelow="1" summaryRight="1"/>
    <pageSetUpPr/>
  </sheetPr>
  <dimension ref="A1:R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17" customWidth="1" min="4" max="4"/>
    <col width="10" customWidth="1" min="5" max="5"/>
    <col width="12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4" customWidth="1" min="15" max="15"/>
    <col width="26" customWidth="1" min="16" max="16"/>
    <col width="12" customWidth="1" min="17" max="17"/>
    <col width="44" customWidth="1" min="18" max="18"/>
  </cols>
  <sheetData>
    <row r="1">
      <c r="A1" s="1" t="inlineStr">
        <is>
          <t>Weighbridge import staging</t>
        </is>
      </c>
    </row>
    <row r="2" ht="32" customHeight="1">
      <c r="A2" s="29" t="inlineStr">
        <is>
          <t>Where the raw CSV rows land before they are written to the Operations workbook. Rows flagged as a problem are left here so you can fix the mapping on WB_Map and re-run; nothing part-imported is ever written through.</t>
        </is>
      </c>
    </row>
    <row r="4" ht="28" customHeight="1">
      <c r="A4" s="30" t="inlineStr">
        <is>
          <t>SourceFile</t>
        </is>
      </c>
      <c r="B4" s="30" t="inlineStr">
        <is>
          <t>Row</t>
        </is>
      </c>
      <c r="C4" s="30" t="inlineStr">
        <is>
          <t>TicketNo</t>
        </is>
      </c>
      <c r="D4" s="30" t="inlineStr">
        <is>
          <t>TicketDateTime</t>
        </is>
      </c>
      <c r="E4" s="30" t="inlineStr">
        <is>
          <t>Direction</t>
        </is>
      </c>
      <c r="F4" s="30" t="inlineStr">
        <is>
          <t>VehicleReg</t>
        </is>
      </c>
      <c r="G4" s="30" t="inlineStr">
        <is>
          <t>JobID</t>
        </is>
      </c>
      <c r="H4" s="30" t="inlineStr">
        <is>
          <t>CustomerID</t>
        </is>
      </c>
      <c r="I4" s="30" t="inlineStr">
        <is>
          <t>OutletID</t>
        </is>
      </c>
      <c r="J4" s="30" t="inlineStr">
        <is>
          <t>EWCCode</t>
        </is>
      </c>
      <c r="K4" s="30" t="inlineStr">
        <is>
          <t>GrossKg</t>
        </is>
      </c>
      <c r="L4" s="30" t="inlineStr">
        <is>
          <t>TareKg</t>
        </is>
      </c>
      <c r="M4" s="30" t="inlineStr">
        <is>
          <t>NetKg</t>
        </is>
      </c>
      <c r="N4" s="30" t="inlineStr">
        <is>
          <t>Weighbridge</t>
        </is>
      </c>
      <c r="O4" s="30" t="inlineStr">
        <is>
          <t>Operator</t>
        </is>
      </c>
      <c r="P4" s="30" t="inlineStr">
        <is>
          <t>Notes</t>
        </is>
      </c>
      <c r="Q4" s="30" t="inlineStr">
        <is>
          <t>Status</t>
        </is>
      </c>
      <c r="R4" s="30" t="inlineStr">
        <is>
          <t>Message</t>
        </is>
      </c>
    </row>
    <row r="5"/>
  </sheetData>
  <mergeCells count="1">
    <mergeCell ref="A2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8" customWidth="1" min="4" max="4"/>
    <col width="40" customWidth="1" min="5" max="5"/>
  </cols>
  <sheetData>
    <row r="1">
      <c r="A1" s="1" t="inlineStr">
        <is>
          <t>Configuration</t>
        </is>
      </c>
    </row>
    <row r="2">
      <c r="A2" s="7" t="inlineStr">
        <is>
          <t>Everything the macros need to know about this installation. Change the Value column only. Blue values are yours to set.</t>
        </is>
      </c>
    </row>
    <row r="4" ht="28" customHeight="1">
      <c r="A4" s="30" t="inlineStr">
        <is>
          <t>Setting</t>
        </is>
      </c>
      <c r="B4" s="30" t="inlineStr">
        <is>
          <t>Value</t>
        </is>
      </c>
      <c r="C4" s="30" t="inlineStr">
        <is>
          <t>Notes</t>
        </is>
      </c>
    </row>
    <row r="5">
      <c r="A5" s="24" t="inlineStr">
        <is>
          <t>--- Paths ---</t>
        </is>
      </c>
      <c r="B5" s="24" t="inlineStr"/>
      <c r="C5" s="31" t="inlineStr"/>
    </row>
    <row r="6" ht="26" customHeight="1">
      <c r="A6" s="32" t="inlineStr">
        <is>
          <t>RootPath</t>
        </is>
      </c>
      <c r="B6" s="33" t="inlineStr">
        <is>
          <t>C:\AcornOps</t>
        </is>
      </c>
      <c r="C6" s="34" t="inlineStr">
        <is>
          <t>The one setting you must get right. Everything else hangs off it. On a shared drive use the UNC path (\\SERVER\Acorn\AcornOps), not a mapped letter - drive letters differ between PCs.</t>
        </is>
      </c>
    </row>
    <row r="7" ht="26" customHeight="1">
      <c r="A7" s="32" t="inlineStr">
        <is>
          <t>MasterWorkbook</t>
        </is>
      </c>
      <c r="B7" s="33" t="inlineStr">
        <is>
          <t>01_Data\AcornOps_Master.xlsx</t>
        </is>
      </c>
      <c r="C7" s="34" t="inlineStr">
        <is>
          <t>Relative to RootPath.</t>
        </is>
      </c>
    </row>
    <row r="8" ht="26" customHeight="1">
      <c r="A8" s="32" t="inlineStr">
        <is>
          <t>OperationsWorkbook</t>
        </is>
      </c>
      <c r="B8" s="33" t="inlineStr">
        <is>
          <t>01_Data\AcornOps_Operations.xlsx</t>
        </is>
      </c>
      <c r="C8" s="34" t="inlineStr">
        <is>
          <t>Relative to RootPath.</t>
        </is>
      </c>
    </row>
    <row r="9" ht="26" customHeight="1">
      <c r="A9" s="32" t="inlineStr">
        <is>
          <t>ComplianceWorkbook</t>
        </is>
      </c>
      <c r="B9" s="33" t="inlineStr">
        <is>
          <t>01_Data\AcornOps_Compliance.xlsx</t>
        </is>
      </c>
      <c r="C9" s="34" t="inlineStr">
        <is>
          <t>Relative to RootPath.</t>
        </is>
      </c>
    </row>
    <row r="10" ht="26" customHeight="1">
      <c r="A10" s="32" t="inlineStr">
        <is>
          <t>TemplatesFolder</t>
        </is>
      </c>
      <c r="B10" s="33" t="inlineStr">
        <is>
          <t>04_Documents\Templates</t>
        </is>
      </c>
      <c r="C10" s="34" t="inlineStr">
        <is>
          <t>Word templates with {{Token}} placeholders.</t>
        </is>
      </c>
    </row>
    <row r="11" ht="26" customHeight="1">
      <c r="A11" s="32" t="inlineStr">
        <is>
          <t>JobDocsFolder</t>
        </is>
      </c>
      <c r="B11" s="33" t="inlineStr">
        <is>
          <t>04_Documents\Jobs</t>
        </is>
      </c>
      <c r="C11" s="34" t="inlineStr">
        <is>
          <t>One subfolder per job, created on demand.</t>
        </is>
      </c>
    </row>
    <row r="12" ht="26" customHeight="1">
      <c r="A12" s="32" t="inlineStr">
        <is>
          <t>ControlledDocsFolder</t>
        </is>
      </c>
      <c r="B12" s="33" t="inlineStr">
        <is>
          <t>04_Documents\Controlled</t>
        </is>
      </c>
      <c r="C12" s="34" t="inlineStr">
        <is>
          <t>Scanned by the document control check.</t>
        </is>
      </c>
    </row>
    <row r="13" ht="26" customHeight="1">
      <c r="A13" s="32" t="inlineStr">
        <is>
          <t>WeighbridgeInbox</t>
        </is>
      </c>
      <c r="B13" s="33" t="inlineStr">
        <is>
          <t>02_Inbox\Weighbridge</t>
        </is>
      </c>
      <c r="C13" s="34" t="inlineStr">
        <is>
          <t>Drop the weighbridge CSV exports here.</t>
        </is>
      </c>
    </row>
    <row r="14" ht="26" customHeight="1">
      <c r="A14" s="32" t="inlineStr">
        <is>
          <t>EmailInbox</t>
        </is>
      </c>
      <c r="B14" s="33" t="inlineStr">
        <is>
          <t>02_Inbox\Email</t>
        </is>
      </c>
      <c r="C14" s="34" t="inlineStr">
        <is>
          <t>Outlook attachments land here, foldered by EmailID.</t>
        </is>
      </c>
    </row>
    <row r="15" ht="26" customHeight="1">
      <c r="A15" s="32" t="inlineStr">
        <is>
          <t>ArchiveFolder</t>
        </is>
      </c>
      <c r="B15" s="33" t="inlineStr">
        <is>
          <t>06_Archive</t>
        </is>
      </c>
      <c r="C15" s="34" t="inlineStr">
        <is>
          <t>Where the archive routine moves closed years.</t>
        </is>
      </c>
    </row>
    <row r="16" ht="26" customHeight="1">
      <c r="A16" s="32" t="inlineStr">
        <is>
          <t>LogFolder</t>
        </is>
      </c>
      <c r="B16" s="33" t="inlineStr">
        <is>
          <t>00_Admin\Logs</t>
        </is>
      </c>
      <c r="C16" s="34" t="inlineStr">
        <is>
          <t>One log file per day. Every automated action is recorded.</t>
        </is>
      </c>
    </row>
    <row r="17">
      <c r="A17" s="24" t="inlineStr">
        <is>
          <t>--- Outlook intake ---</t>
        </is>
      </c>
      <c r="B17" s="24" t="inlineStr"/>
      <c r="C17" s="31" t="inlineStr"/>
    </row>
    <row r="18" ht="26" customHeight="1">
      <c r="A18" s="32" t="inlineStr">
        <is>
          <t>OutlookAccount</t>
        </is>
      </c>
      <c r="B18" s="33" t="inlineStr"/>
      <c r="C18" s="34" t="inlineStr">
        <is>
          <t>Blank = the default mailbox. For a shared mailbox put its display name exactly as it appears in the Outlook folder pane.</t>
        </is>
      </c>
    </row>
    <row r="19" ht="26" customHeight="1">
      <c r="A19" s="32" t="inlineStr">
        <is>
          <t>OutlookIntakeFolder</t>
        </is>
      </c>
      <c r="B19" s="33" t="inlineStr">
        <is>
          <t>Inbox\Acorn Intake</t>
        </is>
      </c>
      <c r="C19" s="34" t="inlineStr">
        <is>
          <t>Backslash-separated path below the mailbox root. Set an Outlook rule to drop enquiries here.</t>
        </is>
      </c>
    </row>
    <row r="20" ht="26" customHeight="1">
      <c r="A20" s="32" t="inlineStr">
        <is>
          <t>OutlookProcessedFolder</t>
        </is>
      </c>
      <c r="B20" s="33" t="inlineStr">
        <is>
          <t>Inbox\Acorn Intake\Logged</t>
        </is>
      </c>
      <c r="C20" s="34" t="inlineStr">
        <is>
          <t>Logged mail is moved here. Leave blank to leave mail where it is.</t>
        </is>
      </c>
    </row>
    <row r="21" ht="26" customHeight="1">
      <c r="A21" s="32" t="inlineStr">
        <is>
          <t>OutlookLookbackDays</t>
        </is>
      </c>
      <c r="B21" s="35" t="n">
        <v>14</v>
      </c>
      <c r="C21" s="34" t="inlineStr">
        <is>
          <t>Ignore anything older. Keeps the scrape quick.</t>
        </is>
      </c>
    </row>
    <row r="22" ht="26" customHeight="1">
      <c r="A22" s="32" t="inlineStr">
        <is>
          <t>OutlookMarkCategory</t>
        </is>
      </c>
      <c r="B22" s="33" t="inlineStr">
        <is>
          <t>Acorn: Logged</t>
        </is>
      </c>
      <c r="C22" s="34" t="inlineStr">
        <is>
          <t>Category stamped on a message once it is logged.</t>
        </is>
      </c>
    </row>
    <row r="23" ht="26" customHeight="1">
      <c r="A23" s="32" t="inlineStr">
        <is>
          <t>OutlookSaveAttachments</t>
        </is>
      </c>
      <c r="B23" s="33" t="inlineStr">
        <is>
          <t>Yes</t>
        </is>
      </c>
      <c r="C23" s="34" t="inlineStr">
        <is>
          <t>Yes = save attachments into EmailInbox\&lt;EmailID&gt;\.</t>
        </is>
      </c>
    </row>
    <row r="24" ht="26" customHeight="1">
      <c r="A24" s="32" t="inlineStr">
        <is>
          <t>OutlookMaxBodyChars</t>
        </is>
      </c>
      <c r="B24" s="35" t="n">
        <v>1000</v>
      </c>
      <c r="C24" s="34" t="inlineStr">
        <is>
          <t>How much body text to keep in the log, for searching.</t>
        </is>
      </c>
    </row>
    <row r="25">
      <c r="A25" s="24" t="inlineStr">
        <is>
          <t>--- Company details (used on generated documents) ---</t>
        </is>
      </c>
      <c r="B25" s="24" t="inlineStr"/>
      <c r="C25" s="31" t="inlineStr"/>
    </row>
    <row r="26" ht="26" customHeight="1">
      <c r="A26" s="32" t="inlineStr">
        <is>
          <t>CompanyName</t>
        </is>
      </c>
      <c r="B26" s="33" t="inlineStr">
        <is>
          <t>Acorn Recyclers Ltd</t>
        </is>
      </c>
      <c r="C26" s="34" t="inlineStr"/>
    </row>
    <row r="27" ht="26" customHeight="1">
      <c r="A27" s="32" t="inlineStr">
        <is>
          <t>CompanyAddress</t>
        </is>
      </c>
      <c r="B27" s="33" t="inlineStr"/>
      <c r="C27" s="34" t="inlineStr">
        <is>
          <t>Single line - it is written straight onto documents.</t>
        </is>
      </c>
    </row>
    <row r="28" ht="26" customHeight="1">
      <c r="A28" s="32" t="inlineStr">
        <is>
          <t>CompanyPostcode</t>
        </is>
      </c>
      <c r="B28" s="33" t="inlineStr"/>
      <c r="C28" s="34" t="inlineStr"/>
    </row>
    <row r="29" ht="26" customHeight="1">
      <c r="A29" s="32" t="inlineStr">
        <is>
          <t>CompanyPhone</t>
        </is>
      </c>
      <c r="B29" s="33" t="inlineStr"/>
      <c r="C29" s="34" t="inlineStr"/>
    </row>
    <row r="30" ht="26" customHeight="1">
      <c r="A30" s="32" t="inlineStr">
        <is>
          <t>CompanyEmail</t>
        </is>
      </c>
      <c r="B30" s="33" t="inlineStr"/>
      <c r="C30" s="34" t="inlineStr"/>
    </row>
    <row r="31" ht="26" customHeight="1">
      <c r="A31" s="32" t="inlineStr">
        <is>
          <t>CompanyVATNumber</t>
        </is>
      </c>
      <c r="B31" s="33" t="inlineStr"/>
      <c r="C31" s="34" t="inlineStr"/>
    </row>
    <row r="32" ht="26" customHeight="1">
      <c r="A32" s="32" t="inlineStr">
        <is>
          <t>CarrierLicence</t>
        </is>
      </c>
      <c r="B32" s="33" t="inlineStr"/>
      <c r="C32" s="34" t="inlineStr">
        <is>
          <t>Waste carrier registration. Legally required on every transfer note.</t>
        </is>
      </c>
    </row>
    <row r="33" ht="26" customHeight="1">
      <c r="A33" s="32" t="inlineStr">
        <is>
          <t>EnvironmentalPermit</t>
        </is>
      </c>
      <c r="B33" s="33" t="inlineStr"/>
      <c r="C33" s="34" t="inlineStr">
        <is>
          <t>Permit number for the transfer station.</t>
        </is>
      </c>
    </row>
    <row r="34" ht="26" customHeight="1">
      <c r="A34" s="32" t="inlineStr">
        <is>
          <t>CompanySICCode</t>
        </is>
      </c>
      <c r="B34" s="33" t="inlineStr">
        <is>
          <t>38320</t>
        </is>
      </c>
      <c r="C34" s="34" t="inlineStr">
        <is>
          <t>Recovery of sorted materials. Change if yours differs.</t>
        </is>
      </c>
    </row>
    <row r="35">
      <c r="A35" s="24" t="inlineStr">
        <is>
          <t>--- Rules &amp; thresholds ---</t>
        </is>
      </c>
      <c r="B35" s="24" t="inlineStr"/>
      <c r="C35" s="31" t="inlineStr"/>
    </row>
    <row r="36" ht="26" customHeight="1">
      <c r="A36" s="32" t="inlineStr">
        <is>
          <t>VATRate</t>
        </is>
      </c>
      <c r="B36" s="36" t="n">
        <v>0.2</v>
      </c>
      <c r="C36" s="34" t="inlineStr">
        <is>
          <t>Applied to new invoice lines. Stored as a fraction.</t>
        </is>
      </c>
    </row>
    <row r="37" ht="26" customHeight="1">
      <c r="A37" s="32" t="inlineStr">
        <is>
          <t>AlertAmberDays</t>
        </is>
      </c>
      <c r="B37" s="35" t="n">
        <v>30</v>
      </c>
      <c r="C37" s="34" t="inlineStr">
        <is>
          <t>How far ahead a renewal turns amber on the Alerts sheet.</t>
        </is>
      </c>
    </row>
    <row r="38" ht="26" customHeight="1">
      <c r="A38" s="32" t="inlineStr">
        <is>
          <t>LongHireDays</t>
        </is>
      </c>
      <c r="B38" s="35" t="n">
        <v>14</v>
      </c>
      <c r="C38" s="34" t="inlineStr">
        <is>
          <t>A container out longer than this is flagged for chasing.</t>
        </is>
      </c>
    </row>
    <row r="39" ht="26" customHeight="1">
      <c r="A39" s="32" t="inlineStr">
        <is>
          <t>RecoveryTargetPct</t>
        </is>
      </c>
      <c r="B39" s="36" t="n">
        <v>0.9</v>
      </c>
      <c r="C39" s="34" t="inlineStr">
        <is>
          <t>Green/amber/red banding on the recovery rate.</t>
        </is>
      </c>
    </row>
    <row r="40" ht="26" customHeight="1">
      <c r="A40" s="32" t="inlineStr">
        <is>
          <t>MassBalanceTolerancePct</t>
        </is>
      </c>
      <c r="B40" s="36" t="n">
        <v>0.05</v>
      </c>
      <c r="C40" s="34" t="inlineStr">
        <is>
          <t>In-vs-out variance above this is flagged. Some variance is normal (moisture, stock on site); a large one usually means missing Out tickets.</t>
        </is>
      </c>
    </row>
    <row r="41" ht="26" customHeight="1">
      <c r="A41" s="32" t="inlineStr">
        <is>
          <t>AutoCreateJobFromEmail</t>
        </is>
      </c>
      <c r="B41" s="33" t="inlineStr">
        <is>
          <t>No</t>
        </is>
      </c>
      <c r="C41" s="34" t="inlineStr">
        <is>
          <t>Yes lets the intake routine raise a Booked job straight from a matched email. Leave No until you trust the classification rules.</t>
        </is>
      </c>
    </row>
    <row r="42" ht="26" customHeight="1">
      <c r="A42" s="32" t="inlineStr">
        <is>
          <t>ExportPDF</t>
        </is>
      </c>
      <c r="B42" s="33" t="inlineStr">
        <is>
          <t>Yes</t>
        </is>
      </c>
      <c r="C42" s="34" t="inlineStr">
        <is>
          <t>Also save a PDF alongside every generated Word document.</t>
        </is>
      </c>
    </row>
    <row r="43" ht="26" customHeight="1">
      <c r="A43" s="32" t="inlineStr">
        <is>
          <t>CurrentUser</t>
        </is>
      </c>
      <c r="B43" s="33" t="inlineStr"/>
      <c r="C43" s="34" t="inlineStr">
        <is>
          <t>Initials stamped on records you create. Set this on each PC.</t>
        </is>
      </c>
    </row>
    <row r="46">
      <c r="A46" s="3" t="inlineStr">
        <is>
          <t>Reference counters</t>
        </is>
      </c>
      <c r="C46" s="7" t="inlineStr">
        <is>
          <t>The next number each ID series will use. The macros bump these; only edit one if you are moving over from an existing numbering scheme.</t>
        </is>
      </c>
    </row>
    <row r="47" ht="28" customHeight="1">
      <c r="A47" s="30" t="inlineStr">
        <is>
          <t>Counter</t>
        </is>
      </c>
      <c r="B47" s="30" t="inlineStr">
        <is>
          <t>Prefix</t>
        </is>
      </c>
      <c r="C47" s="30" t="inlineStr">
        <is>
          <t>NextNumber</t>
        </is>
      </c>
      <c r="D47" s="30" t="inlineStr">
        <is>
          <t>Pad</t>
        </is>
      </c>
      <c r="E47" s="30" t="inlineStr">
        <is>
          <t>Feeds</t>
        </is>
      </c>
    </row>
    <row r="48">
      <c r="A48" s="32" t="inlineStr">
        <is>
          <t>Job</t>
        </is>
      </c>
      <c r="B48" s="32" t="inlineStr">
        <is>
          <t>JOB-</t>
        </is>
      </c>
      <c r="C48" s="35" t="n">
        <v>1043</v>
      </c>
      <c r="D48" s="32" t="n">
        <v>4</v>
      </c>
      <c r="E48" s="32" t="inlineStr">
        <is>
          <t>tblJobs.JobID</t>
        </is>
      </c>
    </row>
    <row r="49">
      <c r="A49" s="32" t="inlineStr">
        <is>
          <t>Movement</t>
        </is>
      </c>
      <c r="B49" s="32" t="inlineStr">
        <is>
          <t>MOV-</t>
        </is>
      </c>
      <c r="C49" s="35" t="n">
        <v>2116</v>
      </c>
      <c r="D49" s="32" t="n">
        <v>6</v>
      </c>
      <c r="E49" s="32" t="inlineStr">
        <is>
          <t>tblMovements.MovementID</t>
        </is>
      </c>
    </row>
    <row r="50">
      <c r="A50" s="32" t="inlineStr">
        <is>
          <t>WeighTicketManual</t>
        </is>
      </c>
      <c r="B50" s="32" t="inlineStr">
        <is>
          <t>WBM-</t>
        </is>
      </c>
      <c r="C50" s="35" t="n">
        <v>1</v>
      </c>
      <c r="D50" s="32" t="n">
        <v>6</v>
      </c>
      <c r="E50" s="32" t="inlineStr">
        <is>
          <t>Manually keyed weighbridge tickets only.</t>
        </is>
      </c>
    </row>
    <row r="51">
      <c r="A51" s="32" t="inlineStr">
        <is>
          <t>TransferNote</t>
        </is>
      </c>
      <c r="B51" s="32" t="inlineStr">
        <is>
          <t>WTN-</t>
        </is>
      </c>
      <c r="C51" s="35" t="n">
        <v>4412</v>
      </c>
      <c r="D51" s="32" t="n">
        <v>6</v>
      </c>
      <c r="E51" s="32" t="inlineStr">
        <is>
          <t>tblTransferNotes.WTNRef</t>
        </is>
      </c>
    </row>
    <row r="52">
      <c r="A52" s="32" t="inlineStr">
        <is>
          <t>Email</t>
        </is>
      </c>
      <c r="B52" s="32" t="inlineStr">
        <is>
          <t>EML-</t>
        </is>
      </c>
      <c r="C52" s="35" t="n">
        <v>118</v>
      </c>
      <c r="D52" s="32" t="n">
        <v>6</v>
      </c>
      <c r="E52" s="32" t="inlineStr">
        <is>
          <t>tblEmailLog.EmailID</t>
        </is>
      </c>
    </row>
    <row r="53">
      <c r="A53" s="32" t="inlineStr">
        <is>
          <t>InvoiceLine</t>
        </is>
      </c>
      <c r="B53" s="32" t="inlineStr">
        <is>
          <t>INL-</t>
        </is>
      </c>
      <c r="C53" s="35" t="n">
        <v>8813</v>
      </c>
      <c r="D53" s="32" t="n">
        <v>6</v>
      </c>
      <c r="E53" s="32" t="inlineStr">
        <is>
          <t>tblInvoiceLines.LineID</t>
        </is>
      </c>
    </row>
    <row r="54">
      <c r="A54" s="32" t="inlineStr">
        <is>
          <t>DocIssue</t>
        </is>
      </c>
      <c r="B54" s="32" t="inlineStr">
        <is>
          <t>DOC-</t>
        </is>
      </c>
      <c r="C54" s="35" t="n">
        <v>1205</v>
      </c>
      <c r="D54" s="32" t="n">
        <v>6</v>
      </c>
      <c r="E54" s="32" t="inlineStr">
        <is>
          <t>tblDocsIssued.IssueID</t>
        </is>
      </c>
    </row>
    <row r="55">
      <c r="A55" s="32" t="inlineStr">
        <is>
          <t>Customer</t>
        </is>
      </c>
      <c r="B55" s="32" t="inlineStr">
        <is>
          <t>ACC-</t>
        </is>
      </c>
      <c r="C55" s="35" t="n">
        <v>2</v>
      </c>
      <c r="D55" s="32" t="n">
        <v>4</v>
      </c>
      <c r="E55" s="32" t="inlineStr">
        <is>
          <t>tblCustomers.CustomerID</t>
        </is>
      </c>
    </row>
    <row r="56">
      <c r="A56" s="32" t="inlineStr">
        <is>
          <t>Site</t>
        </is>
      </c>
      <c r="B56" s="32" t="inlineStr">
        <is>
          <t>SIT-</t>
        </is>
      </c>
      <c r="C56" s="35" t="n">
        <v>2</v>
      </c>
      <c r="D56" s="32" t="n">
        <v>4</v>
      </c>
      <c r="E56" s="32" t="inlineStr">
        <is>
          <t>tblSites.SiteID</t>
        </is>
      </c>
    </row>
    <row r="57">
      <c r="A57" s="32" t="inlineStr">
        <is>
          <t>Asset</t>
        </is>
      </c>
      <c r="B57" s="32" t="inlineStr">
        <is>
          <t>AST-</t>
        </is>
      </c>
      <c r="C57" s="35" t="n">
        <v>2</v>
      </c>
      <c r="D57" s="32" t="n">
        <v>4</v>
      </c>
      <c r="E57" s="32" t="inlineStr">
        <is>
          <t>tblAssets.AssetID</t>
        </is>
      </c>
    </row>
    <row r="58">
      <c r="A58" s="32" t="inlineStr">
        <is>
          <t>NCR</t>
        </is>
      </c>
      <c r="B58" s="32" t="inlineStr">
        <is>
          <t>NCR-</t>
        </is>
      </c>
      <c r="C58" s="35" t="n">
        <v>32</v>
      </c>
      <c r="D58" s="32" t="n">
        <v>4</v>
      </c>
      <c r="E58" s="32" t="inlineStr">
        <is>
          <t>tblNCR.NCRID</t>
        </is>
      </c>
    </row>
    <row r="59">
      <c r="A59" s="32" t="inlineStr">
        <is>
          <t>Incident</t>
        </is>
      </c>
      <c r="B59" s="32" t="inlineStr">
        <is>
          <t>INC-</t>
        </is>
      </c>
      <c r="C59" s="35" t="n">
        <v>23</v>
      </c>
      <c r="D59" s="32" t="n">
        <v>4</v>
      </c>
      <c r="E59" s="32" t="inlineStr">
        <is>
          <t>tblIncidents.IncidentID</t>
        </is>
      </c>
    </row>
    <row r="60">
      <c r="A60" s="32" t="inlineStr">
        <is>
          <t>Training</t>
        </is>
      </c>
      <c r="B60" s="32" t="inlineStr">
        <is>
          <t>TRN-</t>
        </is>
      </c>
      <c r="C60" s="35" t="n">
        <v>413</v>
      </c>
      <c r="D60" s="32" t="n">
        <v>6</v>
      </c>
      <c r="E60" s="32" t="inlineStr">
        <is>
          <t>tblTraining.TrainingID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30" customWidth="1" min="4" max="4"/>
    <col width="20" customWidth="1" min="5" max="5"/>
    <col width="36" customWidth="1" min="6" max="6"/>
    <col width="10" customWidth="1" min="7" max="7"/>
  </cols>
  <sheetData>
    <row r="1">
      <c r="A1" s="1" t="inlineStr">
        <is>
          <t>Outlook classification rules</t>
        </is>
      </c>
    </row>
    <row r="2" ht="30" customHeight="1">
      <c r="A2" s="29" t="inlineStr">
        <is>
          <t>Applied in Priority order, lowest number first; the first rule that matches wins. The catch-all on priority 900 has an empty keyword so it always matches - keep it last so nothing ever falls through unclassified without you seeing it.</t>
        </is>
      </c>
    </row>
    <row r="4" ht="28" customHeight="1">
      <c r="A4" s="30" t="inlineStr">
        <is>
          <t>Priority</t>
        </is>
      </c>
      <c r="B4" s="30" t="inlineStr">
        <is>
          <t>Field</t>
        </is>
      </c>
      <c r="C4" s="30" t="inlineStr">
        <is>
          <t>MatchType</t>
        </is>
      </c>
      <c r="D4" s="30" t="inlineStr">
        <is>
          <t>Keyword</t>
        </is>
      </c>
      <c r="E4" s="30" t="inlineStr">
        <is>
          <t>Category</t>
        </is>
      </c>
      <c r="F4" s="30" t="inlineStr">
        <is>
          <t>Action</t>
        </is>
      </c>
      <c r="G4" s="30" t="inlineStr">
        <is>
          <t>Enabled</t>
        </is>
      </c>
    </row>
    <row r="5">
      <c r="A5" s="32" t="n">
        <v>10</v>
      </c>
      <c r="B5" s="32" t="inlineStr">
        <is>
          <t>Subject</t>
        </is>
      </c>
      <c r="C5" s="32" t="inlineStr">
        <is>
          <t>Contains</t>
        </is>
      </c>
      <c r="D5" s="32" t="inlineStr">
        <is>
          <t>weighbridge</t>
        </is>
      </c>
      <c r="E5" s="32" t="inlineStr">
        <is>
          <t>Weighbridge Ticket</t>
        </is>
      </c>
      <c r="F5" s="32" t="inlineStr">
        <is>
          <t>Save attachment to weighbridge inbox</t>
        </is>
      </c>
      <c r="G5" s="32" t="inlineStr">
        <is>
          <t>Yes</t>
        </is>
      </c>
    </row>
    <row r="6">
      <c r="A6" s="32" t="n">
        <v>20</v>
      </c>
      <c r="B6" s="32" t="inlineStr">
        <is>
          <t>Subject</t>
        </is>
      </c>
      <c r="C6" s="32" t="inlineStr">
        <is>
          <t>Contains</t>
        </is>
      </c>
      <c r="D6" s="32" t="inlineStr">
        <is>
          <t>ticket</t>
        </is>
      </c>
      <c r="E6" s="32" t="inlineStr">
        <is>
          <t>Weighbridge Ticket</t>
        </is>
      </c>
      <c r="F6" s="32" t="inlineStr">
        <is>
          <t>Save attachment to weighbridge inbox</t>
        </is>
      </c>
      <c r="G6" s="32" t="inlineStr">
        <is>
          <t>Yes</t>
        </is>
      </c>
    </row>
    <row r="7">
      <c r="A7" s="32" t="n">
        <v>30</v>
      </c>
      <c r="B7" s="32" t="inlineStr">
        <is>
          <t>Subject</t>
        </is>
      </c>
      <c r="C7" s="32" t="inlineStr">
        <is>
          <t>Contains</t>
        </is>
      </c>
      <c r="D7" s="32" t="inlineStr">
        <is>
          <t>skip</t>
        </is>
      </c>
      <c r="E7" s="32" t="inlineStr">
        <is>
          <t>Booking</t>
        </is>
      </c>
      <c r="F7" s="32" t="inlineStr">
        <is>
          <t>Flag for booking</t>
        </is>
      </c>
      <c r="G7" s="32" t="inlineStr">
        <is>
          <t>Yes</t>
        </is>
      </c>
    </row>
    <row r="8">
      <c r="A8" s="32" t="n">
        <v>40</v>
      </c>
      <c r="B8" s="32" t="inlineStr">
        <is>
          <t>Subject</t>
        </is>
      </c>
      <c r="C8" s="32" t="inlineStr">
        <is>
          <t>Contains</t>
        </is>
      </c>
      <c r="D8" s="32" t="inlineStr">
        <is>
          <t>collection</t>
        </is>
      </c>
      <c r="E8" s="32" t="inlineStr">
        <is>
          <t>Booking</t>
        </is>
      </c>
      <c r="F8" s="32" t="inlineStr">
        <is>
          <t>Flag for booking</t>
        </is>
      </c>
      <c r="G8" s="32" t="inlineStr">
        <is>
          <t>Yes</t>
        </is>
      </c>
    </row>
    <row r="9">
      <c r="A9" s="32" t="n">
        <v>50</v>
      </c>
      <c r="B9" s="32" t="inlineStr">
        <is>
          <t>Subject</t>
        </is>
      </c>
      <c r="C9" s="32" t="inlineStr">
        <is>
          <t>Contains</t>
        </is>
      </c>
      <c r="D9" s="32" t="inlineStr">
        <is>
          <t>exchange</t>
        </is>
      </c>
      <c r="E9" s="32" t="inlineStr">
        <is>
          <t>Booking</t>
        </is>
      </c>
      <c r="F9" s="32" t="inlineStr">
        <is>
          <t>Flag for booking</t>
        </is>
      </c>
      <c r="G9" s="32" t="inlineStr">
        <is>
          <t>Yes</t>
        </is>
      </c>
    </row>
    <row r="10">
      <c r="A10" s="32" t="n">
        <v>60</v>
      </c>
      <c r="B10" s="32" t="inlineStr">
        <is>
          <t>Subject</t>
        </is>
      </c>
      <c r="C10" s="32" t="inlineStr">
        <is>
          <t>Contains</t>
        </is>
      </c>
      <c r="D10" s="32" t="inlineStr">
        <is>
          <t>quote</t>
        </is>
      </c>
      <c r="E10" s="32" t="inlineStr">
        <is>
          <t>Quote Request</t>
        </is>
      </c>
      <c r="F10" s="32" t="inlineStr">
        <is>
          <t>Flag for quoting</t>
        </is>
      </c>
      <c r="G10" s="32" t="inlineStr">
        <is>
          <t>Yes</t>
        </is>
      </c>
    </row>
    <row r="11">
      <c r="A11" s="32" t="n">
        <v>70</v>
      </c>
      <c r="B11" s="32" t="inlineStr">
        <is>
          <t>Subject</t>
        </is>
      </c>
      <c r="C11" s="32" t="inlineStr">
        <is>
          <t>Contains</t>
        </is>
      </c>
      <c r="D11" s="32" t="inlineStr">
        <is>
          <t>price</t>
        </is>
      </c>
      <c r="E11" s="32" t="inlineStr">
        <is>
          <t>Quote Request</t>
        </is>
      </c>
      <c r="F11" s="32" t="inlineStr">
        <is>
          <t>Flag for quoting</t>
        </is>
      </c>
      <c r="G11" s="32" t="inlineStr">
        <is>
          <t>Yes</t>
        </is>
      </c>
    </row>
    <row r="12">
      <c r="A12" s="32" t="n">
        <v>80</v>
      </c>
      <c r="B12" s="32" t="inlineStr">
        <is>
          <t>Subject</t>
        </is>
      </c>
      <c r="C12" s="32" t="inlineStr">
        <is>
          <t>Contains</t>
        </is>
      </c>
      <c r="D12" s="32" t="inlineStr">
        <is>
          <t>invoice</t>
        </is>
      </c>
      <c r="E12" s="32" t="inlineStr">
        <is>
          <t>Invoice Query</t>
        </is>
      </c>
      <c r="F12" s="32" t="inlineStr">
        <is>
          <t>Route to accounts</t>
        </is>
      </c>
      <c r="G12" s="32" t="inlineStr">
        <is>
          <t>Yes</t>
        </is>
      </c>
    </row>
    <row r="13">
      <c r="A13" s="32" t="n">
        <v>90</v>
      </c>
      <c r="B13" s="32" t="inlineStr">
        <is>
          <t>Subject</t>
        </is>
      </c>
      <c r="C13" s="32" t="inlineStr">
        <is>
          <t>Contains</t>
        </is>
      </c>
      <c r="D13" s="32" t="inlineStr">
        <is>
          <t>credit</t>
        </is>
      </c>
      <c r="E13" s="32" t="inlineStr">
        <is>
          <t>Invoice Query</t>
        </is>
      </c>
      <c r="F13" s="32" t="inlineStr">
        <is>
          <t>Route to accounts</t>
        </is>
      </c>
      <c r="G13" s="32" t="inlineStr">
        <is>
          <t>Yes</t>
        </is>
      </c>
    </row>
    <row r="14">
      <c r="A14" s="32" t="n">
        <v>100</v>
      </c>
      <c r="B14" s="32" t="inlineStr">
        <is>
          <t>Subject</t>
        </is>
      </c>
      <c r="C14" s="32" t="inlineStr">
        <is>
          <t>Contains</t>
        </is>
      </c>
      <c r="D14" s="32" t="inlineStr">
        <is>
          <t>complaint</t>
        </is>
      </c>
      <c r="E14" s="32" t="inlineStr">
        <is>
          <t>Complaint</t>
        </is>
      </c>
      <c r="F14" s="32" t="inlineStr">
        <is>
          <t>Raise NCR</t>
        </is>
      </c>
      <c r="G14" s="32" t="inlineStr">
        <is>
          <t>Yes</t>
        </is>
      </c>
    </row>
    <row r="15">
      <c r="A15" s="32" t="n">
        <v>110</v>
      </c>
      <c r="B15" s="32" t="inlineStr">
        <is>
          <t>Body</t>
        </is>
      </c>
      <c r="C15" s="32" t="inlineStr">
        <is>
          <t>Contains</t>
        </is>
      </c>
      <c r="D15" s="32" t="inlineStr">
        <is>
          <t>not happy</t>
        </is>
      </c>
      <c r="E15" s="32" t="inlineStr">
        <is>
          <t>Complaint</t>
        </is>
      </c>
      <c r="F15" s="32" t="inlineStr">
        <is>
          <t>Raise NCR</t>
        </is>
      </c>
      <c r="G15" s="32" t="inlineStr">
        <is>
          <t>Yes</t>
        </is>
      </c>
    </row>
    <row r="16">
      <c r="A16" s="32" t="n">
        <v>120</v>
      </c>
      <c r="B16" s="32" t="inlineStr">
        <is>
          <t>From</t>
        </is>
      </c>
      <c r="C16" s="32" t="inlineStr">
        <is>
          <t>Contains</t>
        </is>
      </c>
      <c r="D16" s="32" t="inlineStr">
        <is>
          <t>@environment-agency.gov.uk</t>
        </is>
      </c>
      <c r="E16" s="32" t="inlineStr">
        <is>
          <t>Compliance</t>
        </is>
      </c>
      <c r="F16" s="32" t="inlineStr">
        <is>
          <t>Route to compliance</t>
        </is>
      </c>
      <c r="G16" s="32" t="inlineStr">
        <is>
          <t>Yes</t>
        </is>
      </c>
    </row>
    <row r="17">
      <c r="A17" s="32" t="n">
        <v>130</v>
      </c>
      <c r="B17" s="32" t="inlineStr">
        <is>
          <t>From</t>
        </is>
      </c>
      <c r="C17" s="32" t="inlineStr">
        <is>
          <t>Contains</t>
        </is>
      </c>
      <c r="D17" s="32" t="inlineStr">
        <is>
          <t>@sepa.org.uk</t>
        </is>
      </c>
      <c r="E17" s="32" t="inlineStr">
        <is>
          <t>Compliance</t>
        </is>
      </c>
      <c r="F17" s="32" t="inlineStr">
        <is>
          <t>Route to compliance</t>
        </is>
      </c>
      <c r="G17" s="32" t="inlineStr">
        <is>
          <t>Yes</t>
        </is>
      </c>
    </row>
    <row r="18">
      <c r="A18" s="32" t="n">
        <v>140</v>
      </c>
      <c r="B18" s="32" t="inlineStr">
        <is>
          <t>Subject</t>
        </is>
      </c>
      <c r="C18" s="32" t="inlineStr">
        <is>
          <t>Contains</t>
        </is>
      </c>
      <c r="D18" s="32" t="inlineStr">
        <is>
          <t>permit</t>
        </is>
      </c>
      <c r="E18" s="32" t="inlineStr">
        <is>
          <t>Compliance</t>
        </is>
      </c>
      <c r="F18" s="32" t="inlineStr">
        <is>
          <t>Route to compliance</t>
        </is>
      </c>
      <c r="G18" s="32" t="inlineStr">
        <is>
          <t>Yes</t>
        </is>
      </c>
    </row>
    <row r="19">
      <c r="A19" s="32" t="n">
        <v>150</v>
      </c>
      <c r="B19" s="32" t="inlineStr">
        <is>
          <t>Subject</t>
        </is>
      </c>
      <c r="C19" s="32" t="inlineStr">
        <is>
          <t>Contains</t>
        </is>
      </c>
      <c r="D19" s="32" t="inlineStr">
        <is>
          <t>duty of care</t>
        </is>
      </c>
      <c r="E19" s="32" t="inlineStr">
        <is>
          <t>Compliance</t>
        </is>
      </c>
      <c r="F19" s="32" t="inlineStr">
        <is>
          <t>Route to compliance</t>
        </is>
      </c>
      <c r="G19" s="32" t="inlineStr">
        <is>
          <t>Yes</t>
        </is>
      </c>
    </row>
    <row r="20">
      <c r="A20" s="32" t="n">
        <v>900</v>
      </c>
      <c r="B20" s="32" t="inlineStr">
        <is>
          <t>Any</t>
        </is>
      </c>
      <c r="C20" s="32" t="inlineStr">
        <is>
          <t>Contains</t>
        </is>
      </c>
      <c r="D20" s="32" t="inlineStr"/>
      <c r="E20" s="32" t="inlineStr">
        <is>
          <t>Unclassified</t>
        </is>
      </c>
      <c r="F20" s="32" t="inlineStr">
        <is>
          <t>Review manually</t>
        </is>
      </c>
      <c r="G20" s="32" t="inlineStr">
        <is>
          <t>Yes</t>
        </is>
      </c>
    </row>
  </sheetData>
  <mergeCells count="1">
    <mergeCell ref="A2:G2"/>
  </mergeCells>
  <dataValidations count="4">
    <dataValidation sqref="E5:E221" showDropDown="0" showInputMessage="0" showErrorMessage="1" allowBlank="1" type="list">
      <formula1>=lst_EmailCategory</formula1>
    </dataValidation>
    <dataValidation sqref="G5:G221" showDropDown="0" showInputMessage="0" showErrorMessage="1" allowBlank="1" type="list">
      <formula1>=lst_YesNo</formula1>
    </dataValidation>
    <dataValidation sqref="B5:B221" showDropDown="0" showInputMessage="0" showErrorMessage="1" allowBlank="1" type="list">
      <formula1>"Subject,Body,From,Any"</formula1>
    </dataValidation>
    <dataValidation sqref="C5:C221" showDropDown="0" showInputMessage="0" showErrorMessage="1" allowBlank="1" type="list">
      <formula1>"Contains,StartsWith,EndsWith,Equals"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34" customWidth="1" min="4" max="4"/>
    <col width="60" customWidth="1" min="5" max="5"/>
  </cols>
  <sheetData>
    <row r="1">
      <c r="A1" s="1" t="inlineStr">
        <is>
          <t>Weighbridge import column map</t>
        </is>
      </c>
    </row>
    <row r="2" ht="42" customHeight="1">
      <c r="A2" s="29" t="inlineStr">
        <is>
          <t>This is the adapter between whatever the skip software exports and the fields this platform needs. Open a real export, copy its column headings into SourceHeader, and the importer will cope with the rest. Nothing here requires a code change - if the software is updated and the headings move, you fix it on this sheet.</t>
        </is>
      </c>
    </row>
    <row r="4" ht="28" customHeight="1">
      <c r="A4" s="30" t="inlineStr">
        <is>
          <t>TargetField</t>
        </is>
      </c>
      <c r="B4" s="30" t="inlineStr">
        <is>
          <t>SourceHeader</t>
        </is>
      </c>
      <c r="C4" s="30" t="inlineStr">
        <is>
          <t>SourceHeader2</t>
        </is>
      </c>
      <c r="D4" s="30" t="inlineStr">
        <is>
          <t>Transform</t>
        </is>
      </c>
      <c r="E4" s="30" t="inlineStr">
        <is>
          <t>Notes</t>
        </is>
      </c>
    </row>
    <row r="5" ht="26" customHeight="1">
      <c r="A5" s="32" t="inlineStr">
        <is>
          <t>TicketNo</t>
        </is>
      </c>
      <c r="B5" s="33" t="inlineStr">
        <is>
          <t>Ticket No</t>
        </is>
      </c>
      <c r="C5" s="33" t="inlineStr"/>
      <c r="D5" s="33" t="inlineStr">
        <is>
          <t>Trim</t>
        </is>
      </c>
      <c r="E5" s="34" t="inlineStr">
        <is>
          <t>Must be unique. Re-importing the same number updates the row.</t>
        </is>
      </c>
    </row>
    <row r="6" ht="26" customHeight="1">
      <c r="A6" s="32" t="inlineStr">
        <is>
          <t>TicketDateTime</t>
        </is>
      </c>
      <c r="B6" s="33" t="inlineStr">
        <is>
          <t>Date/Time</t>
        </is>
      </c>
      <c r="C6" s="33" t="inlineStr"/>
      <c r="D6" s="33" t="inlineStr">
        <is>
          <t>DateTime</t>
        </is>
      </c>
      <c r="E6" s="34" t="inlineStr">
        <is>
          <t>If the export splits date and time, put the date header here and the time header in SourceHeader2.</t>
        </is>
      </c>
    </row>
    <row r="7" ht="26" customHeight="1">
      <c r="A7" s="32" t="inlineStr">
        <is>
          <t>Direction</t>
        </is>
      </c>
      <c r="B7" s="33" t="inlineStr">
        <is>
          <t>In/Out</t>
        </is>
      </c>
      <c r="C7" s="33" t="inlineStr"/>
      <c r="D7" s="33" t="inlineStr">
        <is>
          <t>Map:IN=In;OUT=Out;I=In;O=Out</t>
        </is>
      </c>
      <c r="E7" s="34" t="inlineStr">
        <is>
          <t>Map: pairs rewrite the source value.</t>
        </is>
      </c>
    </row>
    <row r="8" ht="26" customHeight="1">
      <c r="A8" s="32" t="inlineStr">
        <is>
          <t>VehicleReg</t>
        </is>
      </c>
      <c r="B8" s="33" t="inlineStr">
        <is>
          <t>Vehicle</t>
        </is>
      </c>
      <c r="C8" s="33" t="inlineStr"/>
      <c r="D8" s="33" t="inlineStr">
        <is>
          <t>UpperNoSpace</t>
        </is>
      </c>
      <c r="E8" s="34" t="inlineStr">
        <is>
          <t>YJ71KLM and YJ71 KLM must not become two vehicles.</t>
        </is>
      </c>
    </row>
    <row r="9" ht="26" customHeight="1">
      <c r="A9" s="32" t="inlineStr">
        <is>
          <t>JobID</t>
        </is>
      </c>
      <c r="B9" s="33" t="inlineStr">
        <is>
          <t>Order Ref</t>
        </is>
      </c>
      <c r="C9" s="33" t="inlineStr"/>
      <c r="D9" s="33" t="inlineStr">
        <is>
          <t>Trim</t>
        </is>
      </c>
      <c r="E9" s="34" t="inlineStr">
        <is>
          <t>Leave the SourceHeader blank if the export has no job reference; the reconcile step will match on vehicle and date instead.</t>
        </is>
      </c>
    </row>
    <row r="10" ht="26" customHeight="1">
      <c r="A10" s="32" t="inlineStr">
        <is>
          <t>CustomerID</t>
        </is>
      </c>
      <c r="B10" s="33" t="inlineStr">
        <is>
          <t>Account</t>
        </is>
      </c>
      <c r="C10" s="33" t="inlineStr"/>
      <c r="D10" s="33" t="inlineStr">
        <is>
          <t>Trim</t>
        </is>
      </c>
      <c r="E10" s="34" t="inlineStr"/>
    </row>
    <row r="11" ht="26" customHeight="1">
      <c r="A11" s="32" t="inlineStr">
        <is>
          <t>OutletID</t>
        </is>
      </c>
      <c r="B11" s="33" t="inlineStr">
        <is>
          <t>Destination</t>
        </is>
      </c>
      <c r="C11" s="33" t="inlineStr"/>
      <c r="D11" s="33" t="inlineStr">
        <is>
          <t>Trim</t>
        </is>
      </c>
      <c r="E11" s="34" t="inlineStr"/>
    </row>
    <row r="12" ht="26" customHeight="1">
      <c r="A12" s="32" t="inlineStr">
        <is>
          <t>EWCCode</t>
        </is>
      </c>
      <c r="B12" s="33" t="inlineStr">
        <is>
          <t>EWC</t>
        </is>
      </c>
      <c r="C12" s="33" t="inlineStr"/>
      <c r="D12" s="33" t="inlineStr">
        <is>
          <t>DigitsOnly</t>
        </is>
      </c>
      <c r="E12" s="34" t="inlineStr">
        <is>
          <t>Strips spaces and the * hazardous marker.</t>
        </is>
      </c>
    </row>
    <row r="13" ht="26" customHeight="1">
      <c r="A13" s="32" t="inlineStr">
        <is>
          <t>GrossKg</t>
        </is>
      </c>
      <c r="B13" s="33" t="inlineStr">
        <is>
          <t>Gross</t>
        </is>
      </c>
      <c r="C13" s="33" t="inlineStr"/>
      <c r="D13" s="33" t="inlineStr">
        <is>
          <t>Number</t>
        </is>
      </c>
      <c r="E13" s="34" t="inlineStr">
        <is>
          <t>Use TonnesToKg if the bridge exports tonnes.</t>
        </is>
      </c>
    </row>
    <row r="14" ht="26" customHeight="1">
      <c r="A14" s="32" t="inlineStr">
        <is>
          <t>TareKg</t>
        </is>
      </c>
      <c r="B14" s="33" t="inlineStr">
        <is>
          <t>Tare</t>
        </is>
      </c>
      <c r="C14" s="33" t="inlineStr"/>
      <c r="D14" s="33" t="inlineStr">
        <is>
          <t>Number</t>
        </is>
      </c>
      <c r="E14" s="34" t="inlineStr"/>
    </row>
    <row r="15" ht="26" customHeight="1">
      <c r="A15" s="32" t="inlineStr">
        <is>
          <t>Weighbridge</t>
        </is>
      </c>
      <c r="B15" s="33" t="inlineStr">
        <is>
          <t>Bridge</t>
        </is>
      </c>
      <c r="C15" s="33" t="inlineStr"/>
      <c r="D15" s="33" t="inlineStr">
        <is>
          <t>Trim</t>
        </is>
      </c>
      <c r="E15" s="34" t="inlineStr"/>
    </row>
    <row r="16" ht="26" customHeight="1">
      <c r="A16" s="32" t="inlineStr">
        <is>
          <t>Operator</t>
        </is>
      </c>
      <c r="B16" s="33" t="inlineStr">
        <is>
          <t>Operator</t>
        </is>
      </c>
      <c r="C16" s="33" t="inlineStr"/>
      <c r="D16" s="33" t="inlineStr">
        <is>
          <t>Trim</t>
        </is>
      </c>
      <c r="E16" s="34" t="inlineStr"/>
    </row>
    <row r="17" ht="26" customHeight="1">
      <c r="A17" s="32" t="inlineStr">
        <is>
          <t>Notes</t>
        </is>
      </c>
      <c r="B17" s="33" t="inlineStr">
        <is>
          <t>Comments</t>
        </is>
      </c>
      <c r="C17" s="33" t="inlineStr"/>
      <c r="D17" s="33" t="inlineStr">
        <is>
          <t>Trim</t>
        </is>
      </c>
      <c r="E17" s="34" t="inlineStr"/>
    </row>
  </sheetData>
  <mergeCells count="1">
    <mergeCell ref="A2:E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30" customWidth="1" min="4" max="4"/>
    <col width="10" customWidth="1" min="5" max="5"/>
    <col width="56" customWidth="1" min="6" max="6"/>
  </cols>
  <sheetData>
    <row r="1">
      <c r="A1" s="1" t="inlineStr">
        <is>
          <t>Document templates</t>
        </is>
      </c>
    </row>
    <row r="2" ht="34" customHeight="1">
      <c r="A2" s="29" t="inlineStr">
        <is>
          <t>Word templates live in 04_Documents\Templates and use {{Token}} placeholders. The token list is on the TokenRef sheet. Add a template by dropping the .docx in the folder and adding a row here - no macro changes needed.</t>
        </is>
      </c>
    </row>
    <row r="4" ht="28" customHeight="1">
      <c r="A4" s="30" t="inlineStr">
        <is>
          <t>TemplateFile</t>
        </is>
      </c>
      <c r="B4" s="30" t="inlineStr">
        <is>
          <t>DocType</t>
        </is>
      </c>
      <c r="C4" s="30" t="inlineStr">
        <is>
          <t>Source</t>
        </is>
      </c>
      <c r="D4" s="30" t="inlineStr">
        <is>
          <t>OutputName</t>
        </is>
      </c>
      <c r="E4" s="30" t="inlineStr">
        <is>
          <t>SaveAs</t>
        </is>
      </c>
      <c r="F4" s="30" t="inlineStr">
        <is>
          <t>Description</t>
        </is>
      </c>
    </row>
    <row r="5" ht="26" customHeight="1">
      <c r="A5" s="32" t="inlineStr">
        <is>
          <t>WasteTransferNote.docx</t>
        </is>
      </c>
      <c r="B5" s="32" t="inlineStr">
        <is>
          <t>Waste Transfer Note</t>
        </is>
      </c>
      <c r="C5" s="32" t="inlineStr">
        <is>
          <t>TransferNote</t>
        </is>
      </c>
      <c r="D5" s="32" t="inlineStr">
        <is>
          <t>{{WTNRef}} Waste Transfer Note</t>
        </is>
      </c>
      <c r="E5" s="32" t="inlineStr">
        <is>
          <t>Both</t>
        </is>
      </c>
      <c r="F5" s="34" t="inlineStr">
        <is>
          <t>Section A-D duty of care note. Raised per job or per season ticket.</t>
        </is>
      </c>
    </row>
    <row r="6" ht="26" customHeight="1">
      <c r="A6" s="32" t="inlineStr">
        <is>
          <t>HazardousConsignmentNote.docx</t>
        </is>
      </c>
      <c r="B6" s="32" t="inlineStr">
        <is>
          <t>Hazardous Consignment Note</t>
        </is>
      </c>
      <c r="C6" s="32" t="inlineStr">
        <is>
          <t>TransferNote</t>
        </is>
      </c>
      <c r="D6" s="32" t="inlineStr">
        <is>
          <t>{{WTNRef}} Consignment Note</t>
        </is>
      </c>
      <c r="E6" s="32" t="inlineStr">
        <is>
          <t>Both</t>
        </is>
      </c>
      <c r="F6" s="34" t="inlineStr">
        <is>
          <t>Used automatically when the EWC code is flagged Hazardous.</t>
        </is>
      </c>
    </row>
    <row r="7" ht="26" customHeight="1">
      <c r="A7" s="32" t="inlineStr">
        <is>
          <t>JobConfirmation.docx</t>
        </is>
      </c>
      <c r="B7" s="32" t="inlineStr">
        <is>
          <t>Job Confirmation</t>
        </is>
      </c>
      <c r="C7" s="32" t="inlineStr">
        <is>
          <t>Job</t>
        </is>
      </c>
      <c r="D7" s="32" t="inlineStr">
        <is>
          <t>{{JobID}} Confirmation</t>
        </is>
      </c>
      <c r="E7" s="32" t="inlineStr">
        <is>
          <t>Both</t>
        </is>
      </c>
      <c r="F7" s="34" t="inlineStr">
        <is>
          <t>Sent back to the customer when a booking is accepted.</t>
        </is>
      </c>
    </row>
    <row r="8" ht="26" customHeight="1">
      <c r="A8" s="32" t="inlineStr">
        <is>
          <t>Quotation.docx</t>
        </is>
      </c>
      <c r="B8" s="32" t="inlineStr">
        <is>
          <t>Quotation</t>
        </is>
      </c>
      <c r="C8" s="32" t="inlineStr">
        <is>
          <t>Job</t>
        </is>
      </c>
      <c r="D8" s="32" t="inlineStr">
        <is>
          <t>{{JobID}} Quotation</t>
        </is>
      </c>
      <c r="E8" s="32" t="inlineStr">
        <is>
          <t>Both</t>
        </is>
      </c>
      <c r="F8" s="34" t="inlineStr">
        <is>
          <t>Priced from tblPriceList.</t>
        </is>
      </c>
    </row>
    <row r="9" ht="26" customHeight="1">
      <c r="A9" s="32" t="inlineStr">
        <is>
          <t>DutyOfCareStatement.docx</t>
        </is>
      </c>
      <c r="B9" s="32" t="inlineStr">
        <is>
          <t>Duty of Care Statement</t>
        </is>
      </c>
      <c r="C9" s="32" t="inlineStr">
        <is>
          <t>Customer</t>
        </is>
      </c>
      <c r="D9" s="32" t="inlineStr">
        <is>
          <t>{{CustomerID}} Duty of Care</t>
        </is>
      </c>
      <c r="E9" s="32" t="inlineStr">
        <is>
          <t>Both</t>
        </is>
      </c>
      <c r="F9" s="34" t="inlineStr">
        <is>
          <t>Annual statement of where a customer's waste went and the recovery achieved.</t>
        </is>
      </c>
    </row>
    <row r="10" ht="26" customHeight="1">
      <c r="A10" s="32" t="inlineStr">
        <is>
          <t>NCRReport.docx</t>
        </is>
      </c>
      <c r="B10" s="32" t="inlineStr">
        <is>
          <t>Nonconformity Report</t>
        </is>
      </c>
      <c r="C10" s="32" t="inlineStr">
        <is>
          <t>NCR</t>
        </is>
      </c>
      <c r="D10" s="32" t="inlineStr">
        <is>
          <t>{{NCRID}} NCR</t>
        </is>
      </c>
      <c r="E10" s="32" t="inlineStr">
        <is>
          <t>Both</t>
        </is>
      </c>
      <c r="F10" s="34" t="inlineStr">
        <is>
          <t>Full NCR record for the audit file.</t>
        </is>
      </c>
    </row>
    <row r="11" ht="26" customHeight="1">
      <c r="A11" s="32" t="inlineStr">
        <is>
          <t>ToolboxTalkRecord.docx</t>
        </is>
      </c>
      <c r="B11" s="32" t="inlineStr">
        <is>
          <t>Toolbox Talk Record</t>
        </is>
      </c>
      <c r="C11" s="32" t="inlineStr">
        <is>
          <t>Manual</t>
        </is>
      </c>
      <c r="D11" s="32" t="inlineStr">
        <is>
          <t>Toolbox Talk {{Date}}</t>
        </is>
      </c>
      <c r="E11" s="32" t="inlineStr">
        <is>
          <t>Both</t>
        </is>
      </c>
      <c r="F11" s="34" t="inlineStr">
        <is>
          <t>Attendance record; files into 05_Compliance\Training.</t>
        </is>
      </c>
    </row>
    <row r="12" ht="26" customHeight="1">
      <c r="A12" s="32" t="inlineStr">
        <is>
          <t>SiteInductionRecord.docx</t>
        </is>
      </c>
      <c r="B12" s="32" t="inlineStr">
        <is>
          <t>Site Induction Record</t>
        </is>
      </c>
      <c r="C12" s="32" t="inlineStr">
        <is>
          <t>Manual</t>
        </is>
      </c>
      <c r="D12" s="32" t="inlineStr">
        <is>
          <t>Induction {{Name}}</t>
        </is>
      </c>
      <c r="E12" s="32" t="inlineStr">
        <is>
          <t>Both</t>
        </is>
      </c>
      <c r="F12" s="34" t="inlineStr">
        <is>
          <t>Visitor and new-starter induction.</t>
        </is>
      </c>
    </row>
  </sheetData>
  <mergeCells count="1">
    <mergeCell ref="A2:F2"/>
  </mergeCells>
  <dataValidations count="1">
    <dataValidation sqref="E5:E63" showDropDown="0" showInputMessage="0" showErrorMessage="1" allowBlank="1" type="list">
      <formula1>"DOCX,PDF,Both"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60" customWidth="1" min="4" max="4"/>
  </cols>
  <sheetData>
    <row r="1">
      <c r="A1" s="1" t="inlineStr">
        <is>
          <t>Word merge tokens</t>
        </is>
      </c>
    </row>
    <row r="2">
      <c r="A2" s="7" t="inlineStr">
        <is>
          <t>Type these into a Word template exactly as shown, braces included. A token with no value is replaced with an empty string, never left showing on the page.</t>
        </is>
      </c>
    </row>
    <row r="4" ht="28" customHeight="1">
      <c r="A4" s="30" t="inlineStr">
        <is>
          <t>Used by</t>
        </is>
      </c>
      <c r="B4" s="30" t="inlineStr">
        <is>
          <t>Token</t>
        </is>
      </c>
      <c r="C4" s="30" t="inlineStr">
        <is>
          <t>Source table</t>
        </is>
      </c>
      <c r="D4" s="30" t="inlineStr">
        <is>
          <t>Field / meaning</t>
        </is>
      </c>
    </row>
    <row r="5">
      <c r="A5" s="32" t="inlineStr">
        <is>
          <t>Job</t>
        </is>
      </c>
      <c r="B5" s="32" t="inlineStr">
        <is>
          <t>{{Job.JobID}}</t>
        </is>
      </c>
      <c r="C5" s="32" t="inlineStr">
        <is>
          <t>tblJobs</t>
        </is>
      </c>
      <c r="D5" s="32" t="inlineStr">
        <is>
          <t>JobID</t>
        </is>
      </c>
    </row>
    <row r="6">
      <c r="A6" s="32" t="inlineStr">
        <is>
          <t>Job</t>
        </is>
      </c>
      <c r="B6" s="32" t="inlineStr">
        <is>
          <t>{{Job.CreatedOn}}</t>
        </is>
      </c>
      <c r="C6" s="32" t="inlineStr">
        <is>
          <t>tblJobs</t>
        </is>
      </c>
      <c r="D6" s="32" t="inlineStr">
        <is>
          <t>CreatedOn</t>
        </is>
      </c>
    </row>
    <row r="7">
      <c r="A7" s="32" t="inlineStr">
        <is>
          <t>Job</t>
        </is>
      </c>
      <c r="B7" s="32" t="inlineStr">
        <is>
          <t>{{Job.CustomerID}}</t>
        </is>
      </c>
      <c r="C7" s="32" t="inlineStr">
        <is>
          <t>tblJobs</t>
        </is>
      </c>
      <c r="D7" s="32" t="inlineStr">
        <is>
          <t>CustomerID</t>
        </is>
      </c>
    </row>
    <row r="8">
      <c r="A8" s="32" t="inlineStr">
        <is>
          <t>Job</t>
        </is>
      </c>
      <c r="B8" s="32" t="inlineStr">
        <is>
          <t>{{Job.SiteID}}</t>
        </is>
      </c>
      <c r="C8" s="32" t="inlineStr">
        <is>
          <t>tblJobs</t>
        </is>
      </c>
      <c r="D8" s="32" t="inlineStr">
        <is>
          <t>SiteID</t>
        </is>
      </c>
    </row>
    <row r="9">
      <c r="A9" s="32" t="inlineStr">
        <is>
          <t>Job</t>
        </is>
      </c>
      <c r="B9" s="32" t="inlineStr">
        <is>
          <t>{{Job.ServiceType}}</t>
        </is>
      </c>
      <c r="C9" s="32" t="inlineStr">
        <is>
          <t>tblJobs</t>
        </is>
      </c>
      <c r="D9" s="32" t="inlineStr">
        <is>
          <t>ServiceType</t>
        </is>
      </c>
    </row>
    <row r="10">
      <c r="A10" s="32" t="inlineStr">
        <is>
          <t>Job</t>
        </is>
      </c>
      <c r="B10" s="32" t="inlineStr">
        <is>
          <t>{{Job.ContainerType}}</t>
        </is>
      </c>
      <c r="C10" s="32" t="inlineStr">
        <is>
          <t>tblJobs</t>
        </is>
      </c>
      <c r="D10" s="32" t="inlineStr">
        <is>
          <t>ContainerType</t>
        </is>
      </c>
    </row>
    <row r="11">
      <c r="A11" s="32" t="inlineStr">
        <is>
          <t>Job</t>
        </is>
      </c>
      <c r="B11" s="32" t="inlineStr">
        <is>
          <t>{{Job.AssetID}}</t>
        </is>
      </c>
      <c r="C11" s="32" t="inlineStr">
        <is>
          <t>tblJobs</t>
        </is>
      </c>
      <c r="D11" s="32" t="inlineStr">
        <is>
          <t>AssetID</t>
        </is>
      </c>
    </row>
    <row r="12">
      <c r="A12" s="32" t="inlineStr">
        <is>
          <t>Job</t>
        </is>
      </c>
      <c r="B12" s="32" t="inlineStr">
        <is>
          <t>{{Job.RequestedDate}}</t>
        </is>
      </c>
      <c r="C12" s="32" t="inlineStr">
        <is>
          <t>tblJobs</t>
        </is>
      </c>
      <c r="D12" s="32" t="inlineStr">
        <is>
          <t>RequestedDate</t>
        </is>
      </c>
    </row>
    <row r="13">
      <c r="A13" s="32" t="inlineStr">
        <is>
          <t>Job</t>
        </is>
      </c>
      <c r="B13" s="32" t="inlineStr">
        <is>
          <t>{{Job.ScheduledDate}}</t>
        </is>
      </c>
      <c r="C13" s="32" t="inlineStr">
        <is>
          <t>tblJobs</t>
        </is>
      </c>
      <c r="D13" s="32" t="inlineStr">
        <is>
          <t>ScheduledDate</t>
        </is>
      </c>
    </row>
    <row r="14">
      <c r="A14" s="32" t="inlineStr">
        <is>
          <t>Job</t>
        </is>
      </c>
      <c r="B14" s="32" t="inlineStr">
        <is>
          <t>{{Job.CompletedDate}}</t>
        </is>
      </c>
      <c r="C14" s="32" t="inlineStr">
        <is>
          <t>tblJobs</t>
        </is>
      </c>
      <c r="D14" s="32" t="inlineStr">
        <is>
          <t>CompletedDate</t>
        </is>
      </c>
    </row>
    <row r="15">
      <c r="A15" s="32" t="inlineStr">
        <is>
          <t>Job</t>
        </is>
      </c>
      <c r="B15" s="32" t="inlineStr">
        <is>
          <t>{{Job.Status}}</t>
        </is>
      </c>
      <c r="C15" s="32" t="inlineStr">
        <is>
          <t>tblJobs</t>
        </is>
      </c>
      <c r="D15" s="32" t="inlineStr">
        <is>
          <t>Status</t>
        </is>
      </c>
    </row>
    <row r="16">
      <c r="A16" s="32" t="inlineStr">
        <is>
          <t>Job</t>
        </is>
      </c>
      <c r="B16" s="32" t="inlineStr">
        <is>
          <t>{{Job.DriverID}}</t>
        </is>
      </c>
      <c r="C16" s="32" t="inlineStr">
        <is>
          <t>tblJobs</t>
        </is>
      </c>
      <c r="D16" s="32" t="inlineStr">
        <is>
          <t>DriverID</t>
        </is>
      </c>
    </row>
    <row r="17">
      <c r="A17" s="32" t="inlineStr">
        <is>
          <t>Job</t>
        </is>
      </c>
      <c r="B17" s="32" t="inlineStr">
        <is>
          <t>{{Job.VehicleReg}}</t>
        </is>
      </c>
      <c r="C17" s="32" t="inlineStr">
        <is>
          <t>tblJobs</t>
        </is>
      </c>
      <c r="D17" s="32" t="inlineStr">
        <is>
          <t>VehicleReg</t>
        </is>
      </c>
    </row>
    <row r="18">
      <c r="A18" s="32" t="inlineStr">
        <is>
          <t>Job</t>
        </is>
      </c>
      <c r="B18" s="32" t="inlineStr">
        <is>
          <t>{{Job.PermitRef}}</t>
        </is>
      </c>
      <c r="C18" s="32" t="inlineStr">
        <is>
          <t>tblJobs</t>
        </is>
      </c>
      <c r="D18" s="32" t="inlineStr">
        <is>
          <t>PermitRef</t>
        </is>
      </c>
    </row>
    <row r="19">
      <c r="A19" s="32" t="inlineStr">
        <is>
          <t>Job</t>
        </is>
      </c>
      <c r="B19" s="32" t="inlineStr">
        <is>
          <t>{{Job.PONumber}}</t>
        </is>
      </c>
      <c r="C19" s="32" t="inlineStr">
        <is>
          <t>tblJobs</t>
        </is>
      </c>
      <c r="D19" s="32" t="inlineStr">
        <is>
          <t>PONumber</t>
        </is>
      </c>
    </row>
    <row r="20">
      <c r="A20" s="32" t="inlineStr">
        <is>
          <t>Job</t>
        </is>
      </c>
      <c r="B20" s="32" t="inlineStr">
        <is>
          <t>{{Job.PriceAgreed}}</t>
        </is>
      </c>
      <c r="C20" s="32" t="inlineStr">
        <is>
          <t>tblJobs</t>
        </is>
      </c>
      <c r="D20" s="32" t="inlineStr">
        <is>
          <t>PriceAgreed</t>
        </is>
      </c>
    </row>
    <row r="21">
      <c r="A21" s="32" t="inlineStr">
        <is>
          <t>Job</t>
        </is>
      </c>
      <c r="B21" s="32" t="inlineStr">
        <is>
          <t>{{Job.EWCCode}}</t>
        </is>
      </c>
      <c r="C21" s="32" t="inlineStr">
        <is>
          <t>tblJobs</t>
        </is>
      </c>
      <c r="D21" s="32" t="inlineStr">
        <is>
          <t>EWCCode</t>
        </is>
      </c>
    </row>
    <row r="22">
      <c r="A22" s="32" t="inlineStr">
        <is>
          <t>Job</t>
        </is>
      </c>
      <c r="B22" s="32" t="inlineStr">
        <is>
          <t>{{Job.WasteDescription}}</t>
        </is>
      </c>
      <c r="C22" s="32" t="inlineStr">
        <is>
          <t>tblJobs</t>
        </is>
      </c>
      <c r="D22" s="32" t="inlineStr">
        <is>
          <t>WasteDescription</t>
        </is>
      </c>
    </row>
    <row r="23">
      <c r="A23" s="32" t="inlineStr">
        <is>
          <t>Job</t>
        </is>
      </c>
      <c r="B23" s="32" t="inlineStr">
        <is>
          <t>{{Job.DaysOnHire}}</t>
        </is>
      </c>
      <c r="C23" s="32" t="inlineStr">
        <is>
          <t>tblJobs</t>
        </is>
      </c>
      <c r="D23" s="32" t="inlineStr">
        <is>
          <t>DaysOnHire</t>
        </is>
      </c>
    </row>
    <row r="24">
      <c r="A24" s="32" t="inlineStr">
        <is>
          <t>Job</t>
        </is>
      </c>
      <c r="B24" s="32" t="inlineStr">
        <is>
          <t>{{Job.SourceRef}}</t>
        </is>
      </c>
      <c r="C24" s="32" t="inlineStr">
        <is>
          <t>tblJobs</t>
        </is>
      </c>
      <c r="D24" s="32" t="inlineStr">
        <is>
          <t>SourceRef</t>
        </is>
      </c>
    </row>
    <row r="25">
      <c r="A25" s="32" t="inlineStr">
        <is>
          <t>Job</t>
        </is>
      </c>
      <c r="B25" s="32" t="inlineStr">
        <is>
          <t>{{Job.Notes}}</t>
        </is>
      </c>
      <c r="C25" s="32" t="inlineStr">
        <is>
          <t>tblJobs</t>
        </is>
      </c>
      <c r="D25" s="32" t="inlineStr">
        <is>
          <t>Notes</t>
        </is>
      </c>
    </row>
    <row r="26">
      <c r="A26" s="32" t="inlineStr">
        <is>
          <t>Job</t>
        </is>
      </c>
      <c r="B26" s="32" t="inlineStr">
        <is>
          <t>{{Customer.CustomerID}}</t>
        </is>
      </c>
      <c r="C26" s="32" t="inlineStr">
        <is>
          <t>tblCustomers</t>
        </is>
      </c>
      <c r="D26" s="32" t="inlineStr">
        <is>
          <t>CustomerID</t>
        </is>
      </c>
    </row>
    <row r="27">
      <c r="A27" s="32" t="inlineStr">
        <is>
          <t>Job</t>
        </is>
      </c>
      <c r="B27" s="32" t="inlineStr">
        <is>
          <t>{{Customer.CustomerName}}</t>
        </is>
      </c>
      <c r="C27" s="32" t="inlineStr">
        <is>
          <t>tblCustomers</t>
        </is>
      </c>
      <c r="D27" s="32" t="inlineStr">
        <is>
          <t>CustomerName</t>
        </is>
      </c>
    </row>
    <row r="28">
      <c r="A28" s="32" t="inlineStr">
        <is>
          <t>Job</t>
        </is>
      </c>
      <c r="B28" s="32" t="inlineStr">
        <is>
          <t>{{Customer.CustomerType}}</t>
        </is>
      </c>
      <c r="C28" s="32" t="inlineStr">
        <is>
          <t>tblCustomers</t>
        </is>
      </c>
      <c r="D28" s="32" t="inlineStr">
        <is>
          <t>CustomerType</t>
        </is>
      </c>
    </row>
    <row r="29">
      <c r="A29" s="32" t="inlineStr">
        <is>
          <t>Job</t>
        </is>
      </c>
      <c r="B29" s="32" t="inlineStr">
        <is>
          <t>{{Customer.ContactName}}</t>
        </is>
      </c>
      <c r="C29" s="32" t="inlineStr">
        <is>
          <t>tblCustomers</t>
        </is>
      </c>
      <c r="D29" s="32" t="inlineStr">
        <is>
          <t>ContactName</t>
        </is>
      </c>
    </row>
    <row r="30">
      <c r="A30" s="32" t="inlineStr">
        <is>
          <t>Job</t>
        </is>
      </c>
      <c r="B30" s="32" t="inlineStr">
        <is>
          <t>{{Customer.Email}}</t>
        </is>
      </c>
      <c r="C30" s="32" t="inlineStr">
        <is>
          <t>tblCustomers</t>
        </is>
      </c>
      <c r="D30" s="32" t="inlineStr">
        <is>
          <t>Email</t>
        </is>
      </c>
    </row>
    <row r="31">
      <c r="A31" s="32" t="inlineStr">
        <is>
          <t>Job</t>
        </is>
      </c>
      <c r="B31" s="32" t="inlineStr">
        <is>
          <t>{{Customer.Phone}}</t>
        </is>
      </c>
      <c r="C31" s="32" t="inlineStr">
        <is>
          <t>tblCustomers</t>
        </is>
      </c>
      <c r="D31" s="32" t="inlineStr">
        <is>
          <t>Phone</t>
        </is>
      </c>
    </row>
    <row r="32">
      <c r="A32" s="32" t="inlineStr">
        <is>
          <t>Job</t>
        </is>
      </c>
      <c r="B32" s="32" t="inlineStr">
        <is>
          <t>{{Customer.Address1}}</t>
        </is>
      </c>
      <c r="C32" s="32" t="inlineStr">
        <is>
          <t>tblCustomers</t>
        </is>
      </c>
      <c r="D32" s="32" t="inlineStr">
        <is>
          <t>Address1</t>
        </is>
      </c>
    </row>
    <row r="33">
      <c r="A33" s="32" t="inlineStr">
        <is>
          <t>Job</t>
        </is>
      </c>
      <c r="B33" s="32" t="inlineStr">
        <is>
          <t>{{Customer.Address2}}</t>
        </is>
      </c>
      <c r="C33" s="32" t="inlineStr">
        <is>
          <t>tblCustomers</t>
        </is>
      </c>
      <c r="D33" s="32" t="inlineStr">
        <is>
          <t>Address2</t>
        </is>
      </c>
    </row>
    <row r="34">
      <c r="A34" s="32" t="inlineStr">
        <is>
          <t>Job</t>
        </is>
      </c>
      <c r="B34" s="32" t="inlineStr">
        <is>
          <t>{{Customer.Town}}</t>
        </is>
      </c>
      <c r="C34" s="32" t="inlineStr">
        <is>
          <t>tblCustomers</t>
        </is>
      </c>
      <c r="D34" s="32" t="inlineStr">
        <is>
          <t>Town</t>
        </is>
      </c>
    </row>
    <row r="35">
      <c r="A35" s="32" t="inlineStr">
        <is>
          <t>Job</t>
        </is>
      </c>
      <c r="B35" s="32" t="inlineStr">
        <is>
          <t>{{Customer.Postcode}}</t>
        </is>
      </c>
      <c r="C35" s="32" t="inlineStr">
        <is>
          <t>tblCustomers</t>
        </is>
      </c>
      <c r="D35" s="32" t="inlineStr">
        <is>
          <t>Postcode</t>
        </is>
      </c>
    </row>
    <row r="36">
      <c r="A36" s="32" t="inlineStr">
        <is>
          <t>Job</t>
        </is>
      </c>
      <c r="B36" s="32" t="inlineStr">
        <is>
          <t>{{Customer.VATNumber}}</t>
        </is>
      </c>
      <c r="C36" s="32" t="inlineStr">
        <is>
          <t>tblCustomers</t>
        </is>
      </c>
      <c r="D36" s="32" t="inlineStr">
        <is>
          <t>VATNumber</t>
        </is>
      </c>
    </row>
    <row r="37">
      <c r="A37" s="32" t="inlineStr">
        <is>
          <t>Job</t>
        </is>
      </c>
      <c r="B37" s="32" t="inlineStr">
        <is>
          <t>{{Customer.PaymentTerms}}</t>
        </is>
      </c>
      <c r="C37" s="32" t="inlineStr">
        <is>
          <t>tblCustomers</t>
        </is>
      </c>
      <c r="D37" s="32" t="inlineStr">
        <is>
          <t>PaymentTerms</t>
        </is>
      </c>
    </row>
    <row r="38">
      <c r="A38" s="32" t="inlineStr">
        <is>
          <t>Job</t>
        </is>
      </c>
      <c r="B38" s="32" t="inlineStr">
        <is>
          <t>{{Customer.CreditLimit}}</t>
        </is>
      </c>
      <c r="C38" s="32" t="inlineStr">
        <is>
          <t>tblCustomers</t>
        </is>
      </c>
      <c r="D38" s="32" t="inlineStr">
        <is>
          <t>CreditLimit</t>
        </is>
      </c>
    </row>
    <row r="39">
      <c r="A39" s="32" t="inlineStr">
        <is>
          <t>Job</t>
        </is>
      </c>
      <c r="B39" s="32" t="inlineStr">
        <is>
          <t>{{Customer.OnStop}}</t>
        </is>
      </c>
      <c r="C39" s="32" t="inlineStr">
        <is>
          <t>tblCustomers</t>
        </is>
      </c>
      <c r="D39" s="32" t="inlineStr">
        <is>
          <t>OnStop</t>
        </is>
      </c>
    </row>
    <row r="40">
      <c r="A40" s="32" t="inlineStr">
        <is>
          <t>Job</t>
        </is>
      </c>
      <c r="B40" s="32" t="inlineStr">
        <is>
          <t>{{Customer.Status}}</t>
        </is>
      </c>
      <c r="C40" s="32" t="inlineStr">
        <is>
          <t>tblCustomers</t>
        </is>
      </c>
      <c r="D40" s="32" t="inlineStr">
        <is>
          <t>Status</t>
        </is>
      </c>
    </row>
    <row r="41">
      <c r="A41" s="32" t="inlineStr">
        <is>
          <t>Job</t>
        </is>
      </c>
      <c r="B41" s="32" t="inlineStr">
        <is>
          <t>{{Customer.Notes}}</t>
        </is>
      </c>
      <c r="C41" s="32" t="inlineStr">
        <is>
          <t>tblCustomers</t>
        </is>
      </c>
      <c r="D41" s="32" t="inlineStr">
        <is>
          <t>Notes</t>
        </is>
      </c>
    </row>
    <row r="42">
      <c r="A42" s="32" t="inlineStr">
        <is>
          <t>Job</t>
        </is>
      </c>
      <c r="B42" s="32" t="inlineStr">
        <is>
          <t>{{Customer.CreatedOn}}</t>
        </is>
      </c>
      <c r="C42" s="32" t="inlineStr">
        <is>
          <t>tblCustomers</t>
        </is>
      </c>
      <c r="D42" s="32" t="inlineStr">
        <is>
          <t>CreatedOn</t>
        </is>
      </c>
    </row>
    <row r="43">
      <c r="A43" s="32" t="inlineStr">
        <is>
          <t>Job</t>
        </is>
      </c>
      <c r="B43" s="32" t="inlineStr">
        <is>
          <t>{{Customer.CreatedBy}}</t>
        </is>
      </c>
      <c r="C43" s="32" t="inlineStr">
        <is>
          <t>tblCustomers</t>
        </is>
      </c>
      <c r="D43" s="32" t="inlineStr">
        <is>
          <t>CreatedBy</t>
        </is>
      </c>
    </row>
    <row r="44">
      <c r="A44" s="32" t="inlineStr">
        <is>
          <t>Job</t>
        </is>
      </c>
      <c r="B44" s="32" t="inlineStr">
        <is>
          <t>{{Site.SiteID}}</t>
        </is>
      </c>
      <c r="C44" s="32" t="inlineStr">
        <is>
          <t>tblSites</t>
        </is>
      </c>
      <c r="D44" s="32" t="inlineStr">
        <is>
          <t>SiteID</t>
        </is>
      </c>
    </row>
    <row r="45">
      <c r="A45" s="32" t="inlineStr">
        <is>
          <t>Job</t>
        </is>
      </c>
      <c r="B45" s="32" t="inlineStr">
        <is>
          <t>{{Site.CustomerID}}</t>
        </is>
      </c>
      <c r="C45" s="32" t="inlineStr">
        <is>
          <t>tblSites</t>
        </is>
      </c>
      <c r="D45" s="32" t="inlineStr">
        <is>
          <t>CustomerID</t>
        </is>
      </c>
    </row>
    <row r="46">
      <c r="A46" s="32" t="inlineStr">
        <is>
          <t>Job</t>
        </is>
      </c>
      <c r="B46" s="32" t="inlineStr">
        <is>
          <t>{{Site.SiteName}}</t>
        </is>
      </c>
      <c r="C46" s="32" t="inlineStr">
        <is>
          <t>tblSites</t>
        </is>
      </c>
      <c r="D46" s="32" t="inlineStr">
        <is>
          <t>SiteName</t>
        </is>
      </c>
    </row>
    <row r="47">
      <c r="A47" s="32" t="inlineStr">
        <is>
          <t>Job</t>
        </is>
      </c>
      <c r="B47" s="32" t="inlineStr">
        <is>
          <t>{{Site.Address1}}</t>
        </is>
      </c>
      <c r="C47" s="32" t="inlineStr">
        <is>
          <t>tblSites</t>
        </is>
      </c>
      <c r="D47" s="32" t="inlineStr">
        <is>
          <t>Address1</t>
        </is>
      </c>
    </row>
    <row r="48">
      <c r="A48" s="32" t="inlineStr">
        <is>
          <t>Job</t>
        </is>
      </c>
      <c r="B48" s="32" t="inlineStr">
        <is>
          <t>{{Site.Town}}</t>
        </is>
      </c>
      <c r="C48" s="32" t="inlineStr">
        <is>
          <t>tblSites</t>
        </is>
      </c>
      <c r="D48" s="32" t="inlineStr">
        <is>
          <t>Town</t>
        </is>
      </c>
    </row>
    <row r="49">
      <c r="A49" s="32" t="inlineStr">
        <is>
          <t>Job</t>
        </is>
      </c>
      <c r="B49" s="32" t="inlineStr">
        <is>
          <t>{{Site.Postcode}}</t>
        </is>
      </c>
      <c r="C49" s="32" t="inlineStr">
        <is>
          <t>tblSites</t>
        </is>
      </c>
      <c r="D49" s="32" t="inlineStr">
        <is>
          <t>Postcode</t>
        </is>
      </c>
    </row>
    <row r="50">
      <c r="A50" s="32" t="inlineStr">
        <is>
          <t>Job</t>
        </is>
      </c>
      <c r="B50" s="32" t="inlineStr">
        <is>
          <t>{{Site.What3Words}}</t>
        </is>
      </c>
      <c r="C50" s="32" t="inlineStr">
        <is>
          <t>tblSites</t>
        </is>
      </c>
      <c r="D50" s="32" t="inlineStr">
        <is>
          <t>What3Words</t>
        </is>
      </c>
    </row>
    <row r="51">
      <c r="A51" s="32" t="inlineStr">
        <is>
          <t>Job</t>
        </is>
      </c>
      <c r="B51" s="32" t="inlineStr">
        <is>
          <t>{{Site.AccessNotes}}</t>
        </is>
      </c>
      <c r="C51" s="32" t="inlineStr">
        <is>
          <t>tblSites</t>
        </is>
      </c>
      <c r="D51" s="32" t="inlineStr">
        <is>
          <t>AccessNotes</t>
        </is>
      </c>
    </row>
    <row r="52">
      <c r="A52" s="32" t="inlineStr">
        <is>
          <t>Job</t>
        </is>
      </c>
      <c r="B52" s="32" t="inlineStr">
        <is>
          <t>{{Site.PermitRequired}}</t>
        </is>
      </c>
      <c r="C52" s="32" t="inlineStr">
        <is>
          <t>tblSites</t>
        </is>
      </c>
      <c r="D52" s="32" t="inlineStr">
        <is>
          <t>PermitRequired</t>
        </is>
      </c>
    </row>
    <row r="53">
      <c r="A53" s="32" t="inlineStr">
        <is>
          <t>Job</t>
        </is>
      </c>
      <c r="B53" s="32" t="inlineStr">
        <is>
          <t>{{Site.PermitAuthority}}</t>
        </is>
      </c>
      <c r="C53" s="32" t="inlineStr">
        <is>
          <t>tblSites</t>
        </is>
      </c>
      <c r="D53" s="32" t="inlineStr">
        <is>
          <t>PermitAuthority</t>
        </is>
      </c>
    </row>
    <row r="54">
      <c r="A54" s="32" t="inlineStr">
        <is>
          <t>Job</t>
        </is>
      </c>
      <c r="B54" s="32" t="inlineStr">
        <is>
          <t>{{Site.SiteContact}}</t>
        </is>
      </c>
      <c r="C54" s="32" t="inlineStr">
        <is>
          <t>tblSites</t>
        </is>
      </c>
      <c r="D54" s="32" t="inlineStr">
        <is>
          <t>SiteContact</t>
        </is>
      </c>
    </row>
    <row r="55">
      <c r="A55" s="32" t="inlineStr">
        <is>
          <t>Job</t>
        </is>
      </c>
      <c r="B55" s="32" t="inlineStr">
        <is>
          <t>{{Site.SiteContactPhone}}</t>
        </is>
      </c>
      <c r="C55" s="32" t="inlineStr">
        <is>
          <t>tblSites</t>
        </is>
      </c>
      <c r="D55" s="32" t="inlineStr">
        <is>
          <t>SiteContactPhone</t>
        </is>
      </c>
    </row>
    <row r="56">
      <c r="A56" s="32" t="inlineStr">
        <is>
          <t>Job</t>
        </is>
      </c>
      <c r="B56" s="32" t="inlineStr">
        <is>
          <t>{{Site.Status}}</t>
        </is>
      </c>
      <c r="C56" s="32" t="inlineStr">
        <is>
          <t>tblSites</t>
        </is>
      </c>
      <c r="D56" s="32" t="inlineStr">
        <is>
          <t>Status</t>
        </is>
      </c>
    </row>
    <row r="57">
      <c r="A57" s="32" t="inlineStr">
        <is>
          <t>TransferNote</t>
        </is>
      </c>
      <c r="B57" s="32" t="inlineStr">
        <is>
          <t>{{WTN.WTNRef}}</t>
        </is>
      </c>
      <c r="C57" s="32" t="inlineStr">
        <is>
          <t>tblTransferNotes</t>
        </is>
      </c>
      <c r="D57" s="32" t="inlineStr">
        <is>
          <t>WTNRef</t>
        </is>
      </c>
    </row>
    <row r="58">
      <c r="A58" s="32" t="inlineStr">
        <is>
          <t>TransferNote</t>
        </is>
      </c>
      <c r="B58" s="32" t="inlineStr">
        <is>
          <t>{{WTN.DocType}}</t>
        </is>
      </c>
      <c r="C58" s="32" t="inlineStr">
        <is>
          <t>tblTransferNotes</t>
        </is>
      </c>
      <c r="D58" s="32" t="inlineStr">
        <is>
          <t>DocType</t>
        </is>
      </c>
    </row>
    <row r="59">
      <c r="A59" s="32" t="inlineStr">
        <is>
          <t>TransferNote</t>
        </is>
      </c>
      <c r="B59" s="32" t="inlineStr">
        <is>
          <t>{{WTN.IssueDate}}</t>
        </is>
      </c>
      <c r="C59" s="32" t="inlineStr">
        <is>
          <t>tblTransferNotes</t>
        </is>
      </c>
      <c r="D59" s="32" t="inlineStr">
        <is>
          <t>IssueDate</t>
        </is>
      </c>
    </row>
    <row r="60">
      <c r="A60" s="32" t="inlineStr">
        <is>
          <t>TransferNote</t>
        </is>
      </c>
      <c r="B60" s="32" t="inlineStr">
        <is>
          <t>{{WTN.JobID}}</t>
        </is>
      </c>
      <c r="C60" s="32" t="inlineStr">
        <is>
          <t>tblTransferNotes</t>
        </is>
      </c>
      <c r="D60" s="32" t="inlineStr">
        <is>
          <t>JobID</t>
        </is>
      </c>
    </row>
    <row r="61">
      <c r="A61" s="32" t="inlineStr">
        <is>
          <t>TransferNote</t>
        </is>
      </c>
      <c r="B61" s="32" t="inlineStr">
        <is>
          <t>{{WTN.CustomerID}}</t>
        </is>
      </c>
      <c r="C61" s="32" t="inlineStr">
        <is>
          <t>tblTransferNotes</t>
        </is>
      </c>
      <c r="D61" s="32" t="inlineStr">
        <is>
          <t>CustomerID</t>
        </is>
      </c>
    </row>
    <row r="62">
      <c r="A62" s="32" t="inlineStr">
        <is>
          <t>TransferNote</t>
        </is>
      </c>
      <c r="B62" s="32" t="inlineStr">
        <is>
          <t>{{WTN.SiteID}}</t>
        </is>
      </c>
      <c r="C62" s="32" t="inlineStr">
        <is>
          <t>tblTransferNotes</t>
        </is>
      </c>
      <c r="D62" s="32" t="inlineStr">
        <is>
          <t>SiteID</t>
        </is>
      </c>
    </row>
    <row r="63">
      <c r="A63" s="32" t="inlineStr">
        <is>
          <t>TransferNote</t>
        </is>
      </c>
      <c r="B63" s="32" t="inlineStr">
        <is>
          <t>{{WTN.EWCCode}}</t>
        </is>
      </c>
      <c r="C63" s="32" t="inlineStr">
        <is>
          <t>tblTransferNotes</t>
        </is>
      </c>
      <c r="D63" s="32" t="inlineStr">
        <is>
          <t>EWCCode</t>
        </is>
      </c>
    </row>
    <row r="64">
      <c r="A64" s="32" t="inlineStr">
        <is>
          <t>TransferNote</t>
        </is>
      </c>
      <c r="B64" s="32" t="inlineStr">
        <is>
          <t>{{WTN.WasteDescription}}</t>
        </is>
      </c>
      <c r="C64" s="32" t="inlineStr">
        <is>
          <t>tblTransferNotes</t>
        </is>
      </c>
      <c r="D64" s="32" t="inlineStr">
        <is>
          <t>WasteDescription</t>
        </is>
      </c>
    </row>
    <row r="65">
      <c r="A65" s="32" t="inlineStr">
        <is>
          <t>TransferNote</t>
        </is>
      </c>
      <c r="B65" s="32" t="inlineStr">
        <is>
          <t>{{WTN.SICCode}}</t>
        </is>
      </c>
      <c r="C65" s="32" t="inlineStr">
        <is>
          <t>tblTransferNotes</t>
        </is>
      </c>
      <c r="D65" s="32" t="inlineStr">
        <is>
          <t>SICCode</t>
        </is>
      </c>
    </row>
    <row r="66">
      <c r="A66" s="32" t="inlineStr">
        <is>
          <t>TransferNote</t>
        </is>
      </c>
      <c r="B66" s="32" t="inlineStr">
        <is>
          <t>{{WTN.ContainerType}}</t>
        </is>
      </c>
      <c r="C66" s="32" t="inlineStr">
        <is>
          <t>tblTransferNotes</t>
        </is>
      </c>
      <c r="D66" s="32" t="inlineStr">
        <is>
          <t>ContainerType</t>
        </is>
      </c>
    </row>
    <row r="67">
      <c r="A67" s="32" t="inlineStr">
        <is>
          <t>TransferNote</t>
        </is>
      </c>
      <c r="B67" s="32" t="inlineStr">
        <is>
          <t>{{WTN.QuantityTonnes}}</t>
        </is>
      </c>
      <c r="C67" s="32" t="inlineStr">
        <is>
          <t>tblTransferNotes</t>
        </is>
      </c>
      <c r="D67" s="32" t="inlineStr">
        <is>
          <t>QuantityTonnes</t>
        </is>
      </c>
    </row>
    <row r="68">
      <c r="A68" s="32" t="inlineStr">
        <is>
          <t>TransferNote</t>
        </is>
      </c>
      <c r="B68" s="32" t="inlineStr">
        <is>
          <t>{{WTN.CarrierLicence}}</t>
        </is>
      </c>
      <c r="C68" s="32" t="inlineStr">
        <is>
          <t>tblTransferNotes</t>
        </is>
      </c>
      <c r="D68" s="32" t="inlineStr">
        <is>
          <t>CarrierLicence</t>
        </is>
      </c>
    </row>
    <row r="69">
      <c r="A69" s="32" t="inlineStr">
        <is>
          <t>TransferNote</t>
        </is>
      </c>
      <c r="B69" s="32" t="inlineStr">
        <is>
          <t>{{WTN.ProducerSignedBy}}</t>
        </is>
      </c>
      <c r="C69" s="32" t="inlineStr">
        <is>
          <t>tblTransferNotes</t>
        </is>
      </c>
      <c r="D69" s="32" t="inlineStr">
        <is>
          <t>ProducerSignedBy</t>
        </is>
      </c>
    </row>
    <row r="70">
      <c r="A70" s="32" t="inlineStr">
        <is>
          <t>TransferNote</t>
        </is>
      </c>
      <c r="B70" s="32" t="inlineStr">
        <is>
          <t>{{WTN.ProducerSignedOn}}</t>
        </is>
      </c>
      <c r="C70" s="32" t="inlineStr">
        <is>
          <t>tblTransferNotes</t>
        </is>
      </c>
      <c r="D70" s="32" t="inlineStr">
        <is>
          <t>ProducerSignedOn</t>
        </is>
      </c>
    </row>
    <row r="71">
      <c r="A71" s="32" t="inlineStr">
        <is>
          <t>TransferNote</t>
        </is>
      </c>
      <c r="B71" s="32" t="inlineStr">
        <is>
          <t>{{WTN.CarrierSignedBy}}</t>
        </is>
      </c>
      <c r="C71" s="32" t="inlineStr">
        <is>
          <t>tblTransferNotes</t>
        </is>
      </c>
      <c r="D71" s="32" t="inlineStr">
        <is>
          <t>CarrierSignedBy</t>
        </is>
      </c>
    </row>
    <row r="72">
      <c r="A72" s="32" t="inlineStr">
        <is>
          <t>TransferNote</t>
        </is>
      </c>
      <c r="B72" s="32" t="inlineStr">
        <is>
          <t>{{WTN.DocumentPath}}</t>
        </is>
      </c>
      <c r="C72" s="32" t="inlineStr">
        <is>
          <t>tblTransferNotes</t>
        </is>
      </c>
      <c r="D72" s="32" t="inlineStr">
        <is>
          <t>DocumentPath</t>
        </is>
      </c>
    </row>
    <row r="73">
      <c r="A73" s="32" t="inlineStr">
        <is>
          <t>TransferNote</t>
        </is>
      </c>
      <c r="B73" s="32" t="inlineStr">
        <is>
          <t>{{WTN.RetentionUntil}}</t>
        </is>
      </c>
      <c r="C73" s="32" t="inlineStr">
        <is>
          <t>tblTransferNotes</t>
        </is>
      </c>
      <c r="D73" s="32" t="inlineStr">
        <is>
          <t>RetentionUntil</t>
        </is>
      </c>
    </row>
    <row r="74">
      <c r="A74" s="32" t="inlineStr">
        <is>
          <t>TransferNote</t>
        </is>
      </c>
      <c r="B74" s="32" t="inlineStr">
        <is>
          <t>{{WTN.Status}}</t>
        </is>
      </c>
      <c r="C74" s="32" t="inlineStr">
        <is>
          <t>tblTransferNotes</t>
        </is>
      </c>
      <c r="D74" s="32" t="inlineStr">
        <is>
          <t>Status</t>
        </is>
      </c>
    </row>
    <row r="75">
      <c r="A75" s="32" t="inlineStr">
        <is>
          <t>TransferNote</t>
        </is>
      </c>
      <c r="B75" s="32" t="inlineStr">
        <is>
          <t>{{Customer.CustomerID}}</t>
        </is>
      </c>
      <c r="C75" s="32" t="inlineStr">
        <is>
          <t>tblCustomers</t>
        </is>
      </c>
      <c r="D75" s="32" t="inlineStr">
        <is>
          <t>CustomerID</t>
        </is>
      </c>
    </row>
    <row r="76">
      <c r="A76" s="32" t="inlineStr">
        <is>
          <t>TransferNote</t>
        </is>
      </c>
      <c r="B76" s="32" t="inlineStr">
        <is>
          <t>{{Customer.CustomerName}}</t>
        </is>
      </c>
      <c r="C76" s="32" t="inlineStr">
        <is>
          <t>tblCustomers</t>
        </is>
      </c>
      <c r="D76" s="32" t="inlineStr">
        <is>
          <t>CustomerName</t>
        </is>
      </c>
    </row>
    <row r="77">
      <c r="A77" s="32" t="inlineStr">
        <is>
          <t>TransferNote</t>
        </is>
      </c>
      <c r="B77" s="32" t="inlineStr">
        <is>
          <t>{{Customer.CustomerType}}</t>
        </is>
      </c>
      <c r="C77" s="32" t="inlineStr">
        <is>
          <t>tblCustomers</t>
        </is>
      </c>
      <c r="D77" s="32" t="inlineStr">
        <is>
          <t>CustomerType</t>
        </is>
      </c>
    </row>
    <row r="78">
      <c r="A78" s="32" t="inlineStr">
        <is>
          <t>TransferNote</t>
        </is>
      </c>
      <c r="B78" s="32" t="inlineStr">
        <is>
          <t>{{Customer.ContactName}}</t>
        </is>
      </c>
      <c r="C78" s="32" t="inlineStr">
        <is>
          <t>tblCustomers</t>
        </is>
      </c>
      <c r="D78" s="32" t="inlineStr">
        <is>
          <t>ContactName</t>
        </is>
      </c>
    </row>
    <row r="79">
      <c r="A79" s="32" t="inlineStr">
        <is>
          <t>TransferNote</t>
        </is>
      </c>
      <c r="B79" s="32" t="inlineStr">
        <is>
          <t>{{Customer.Email}}</t>
        </is>
      </c>
      <c r="C79" s="32" t="inlineStr">
        <is>
          <t>tblCustomers</t>
        </is>
      </c>
      <c r="D79" s="32" t="inlineStr">
        <is>
          <t>Email</t>
        </is>
      </c>
    </row>
    <row r="80">
      <c r="A80" s="32" t="inlineStr">
        <is>
          <t>TransferNote</t>
        </is>
      </c>
      <c r="B80" s="32" t="inlineStr">
        <is>
          <t>{{Customer.Phone}}</t>
        </is>
      </c>
      <c r="C80" s="32" t="inlineStr">
        <is>
          <t>tblCustomers</t>
        </is>
      </c>
      <c r="D80" s="32" t="inlineStr">
        <is>
          <t>Phone</t>
        </is>
      </c>
    </row>
    <row r="81">
      <c r="A81" s="32" t="inlineStr">
        <is>
          <t>TransferNote</t>
        </is>
      </c>
      <c r="B81" s="32" t="inlineStr">
        <is>
          <t>{{Customer.Address1}}</t>
        </is>
      </c>
      <c r="C81" s="32" t="inlineStr">
        <is>
          <t>tblCustomers</t>
        </is>
      </c>
      <c r="D81" s="32" t="inlineStr">
        <is>
          <t>Address1</t>
        </is>
      </c>
    </row>
    <row r="82">
      <c r="A82" s="32" t="inlineStr">
        <is>
          <t>TransferNote</t>
        </is>
      </c>
      <c r="B82" s="32" t="inlineStr">
        <is>
          <t>{{Customer.Address2}}</t>
        </is>
      </c>
      <c r="C82" s="32" t="inlineStr">
        <is>
          <t>tblCustomers</t>
        </is>
      </c>
      <c r="D82" s="32" t="inlineStr">
        <is>
          <t>Address2</t>
        </is>
      </c>
    </row>
    <row r="83">
      <c r="A83" s="32" t="inlineStr">
        <is>
          <t>TransferNote</t>
        </is>
      </c>
      <c r="B83" s="32" t="inlineStr">
        <is>
          <t>{{Customer.Town}}</t>
        </is>
      </c>
      <c r="C83" s="32" t="inlineStr">
        <is>
          <t>tblCustomers</t>
        </is>
      </c>
      <c r="D83" s="32" t="inlineStr">
        <is>
          <t>Town</t>
        </is>
      </c>
    </row>
    <row r="84">
      <c r="A84" s="32" t="inlineStr">
        <is>
          <t>TransferNote</t>
        </is>
      </c>
      <c r="B84" s="32" t="inlineStr">
        <is>
          <t>{{Customer.Postcode}}</t>
        </is>
      </c>
      <c r="C84" s="32" t="inlineStr">
        <is>
          <t>tblCustomers</t>
        </is>
      </c>
      <c r="D84" s="32" t="inlineStr">
        <is>
          <t>Postcode</t>
        </is>
      </c>
    </row>
    <row r="85">
      <c r="A85" s="32" t="inlineStr">
        <is>
          <t>TransferNote</t>
        </is>
      </c>
      <c r="B85" s="32" t="inlineStr">
        <is>
          <t>{{Customer.VATNumber}}</t>
        </is>
      </c>
      <c r="C85" s="32" t="inlineStr">
        <is>
          <t>tblCustomers</t>
        </is>
      </c>
      <c r="D85" s="32" t="inlineStr">
        <is>
          <t>VATNumber</t>
        </is>
      </c>
    </row>
    <row r="86">
      <c r="A86" s="32" t="inlineStr">
        <is>
          <t>TransferNote</t>
        </is>
      </c>
      <c r="B86" s="32" t="inlineStr">
        <is>
          <t>{{Customer.PaymentTerms}}</t>
        </is>
      </c>
      <c r="C86" s="32" t="inlineStr">
        <is>
          <t>tblCustomers</t>
        </is>
      </c>
      <c r="D86" s="32" t="inlineStr">
        <is>
          <t>PaymentTerms</t>
        </is>
      </c>
    </row>
    <row r="87">
      <c r="A87" s="32" t="inlineStr">
        <is>
          <t>TransferNote</t>
        </is>
      </c>
      <c r="B87" s="32" t="inlineStr">
        <is>
          <t>{{Customer.CreditLimit}}</t>
        </is>
      </c>
      <c r="C87" s="32" t="inlineStr">
        <is>
          <t>tblCustomers</t>
        </is>
      </c>
      <c r="D87" s="32" t="inlineStr">
        <is>
          <t>CreditLimit</t>
        </is>
      </c>
    </row>
    <row r="88">
      <c r="A88" s="32" t="inlineStr">
        <is>
          <t>TransferNote</t>
        </is>
      </c>
      <c r="B88" s="32" t="inlineStr">
        <is>
          <t>{{Customer.OnStop}}</t>
        </is>
      </c>
      <c r="C88" s="32" t="inlineStr">
        <is>
          <t>tblCustomers</t>
        </is>
      </c>
      <c r="D88" s="32" t="inlineStr">
        <is>
          <t>OnStop</t>
        </is>
      </c>
    </row>
    <row r="89">
      <c r="A89" s="32" t="inlineStr">
        <is>
          <t>TransferNote</t>
        </is>
      </c>
      <c r="B89" s="32" t="inlineStr">
        <is>
          <t>{{Customer.Status}}</t>
        </is>
      </c>
      <c r="C89" s="32" t="inlineStr">
        <is>
          <t>tblCustomers</t>
        </is>
      </c>
      <c r="D89" s="32" t="inlineStr">
        <is>
          <t>Status</t>
        </is>
      </c>
    </row>
    <row r="90">
      <c r="A90" s="32" t="inlineStr">
        <is>
          <t>TransferNote</t>
        </is>
      </c>
      <c r="B90" s="32" t="inlineStr">
        <is>
          <t>{{Customer.Notes}}</t>
        </is>
      </c>
      <c r="C90" s="32" t="inlineStr">
        <is>
          <t>tblCustomers</t>
        </is>
      </c>
      <c r="D90" s="32" t="inlineStr">
        <is>
          <t>Notes</t>
        </is>
      </c>
    </row>
    <row r="91">
      <c r="A91" s="32" t="inlineStr">
        <is>
          <t>TransferNote</t>
        </is>
      </c>
      <c r="B91" s="32" t="inlineStr">
        <is>
          <t>{{Customer.CreatedOn}}</t>
        </is>
      </c>
      <c r="C91" s="32" t="inlineStr">
        <is>
          <t>tblCustomers</t>
        </is>
      </c>
      <c r="D91" s="32" t="inlineStr">
        <is>
          <t>CreatedOn</t>
        </is>
      </c>
    </row>
    <row r="92">
      <c r="A92" s="32" t="inlineStr">
        <is>
          <t>TransferNote</t>
        </is>
      </c>
      <c r="B92" s="32" t="inlineStr">
        <is>
          <t>{{Customer.CreatedBy}}</t>
        </is>
      </c>
      <c r="C92" s="32" t="inlineStr">
        <is>
          <t>tblCustomers</t>
        </is>
      </c>
      <c r="D92" s="32" t="inlineStr">
        <is>
          <t>CreatedBy</t>
        </is>
      </c>
    </row>
    <row r="93">
      <c r="A93" s="32" t="inlineStr">
        <is>
          <t>TransferNote</t>
        </is>
      </c>
      <c r="B93" s="32" t="inlineStr">
        <is>
          <t>{{Site.SiteID}}</t>
        </is>
      </c>
      <c r="C93" s="32" t="inlineStr">
        <is>
          <t>tblSites</t>
        </is>
      </c>
      <c r="D93" s="32" t="inlineStr">
        <is>
          <t>SiteID</t>
        </is>
      </c>
    </row>
    <row r="94">
      <c r="A94" s="32" t="inlineStr">
        <is>
          <t>TransferNote</t>
        </is>
      </c>
      <c r="B94" s="32" t="inlineStr">
        <is>
          <t>{{Site.CustomerID}}</t>
        </is>
      </c>
      <c r="C94" s="32" t="inlineStr">
        <is>
          <t>tblSites</t>
        </is>
      </c>
      <c r="D94" s="32" t="inlineStr">
        <is>
          <t>CustomerID</t>
        </is>
      </c>
    </row>
    <row r="95">
      <c r="A95" s="32" t="inlineStr">
        <is>
          <t>TransferNote</t>
        </is>
      </c>
      <c r="B95" s="32" t="inlineStr">
        <is>
          <t>{{Site.SiteName}}</t>
        </is>
      </c>
      <c r="C95" s="32" t="inlineStr">
        <is>
          <t>tblSites</t>
        </is>
      </c>
      <c r="D95" s="32" t="inlineStr">
        <is>
          <t>SiteName</t>
        </is>
      </c>
    </row>
    <row r="96">
      <c r="A96" s="32" t="inlineStr">
        <is>
          <t>TransferNote</t>
        </is>
      </c>
      <c r="B96" s="32" t="inlineStr">
        <is>
          <t>{{Site.Address1}}</t>
        </is>
      </c>
      <c r="C96" s="32" t="inlineStr">
        <is>
          <t>tblSites</t>
        </is>
      </c>
      <c r="D96" s="32" t="inlineStr">
        <is>
          <t>Address1</t>
        </is>
      </c>
    </row>
    <row r="97">
      <c r="A97" s="32" t="inlineStr">
        <is>
          <t>TransferNote</t>
        </is>
      </c>
      <c r="B97" s="32" t="inlineStr">
        <is>
          <t>{{Site.Town}}</t>
        </is>
      </c>
      <c r="C97" s="32" t="inlineStr">
        <is>
          <t>tblSites</t>
        </is>
      </c>
      <c r="D97" s="32" t="inlineStr">
        <is>
          <t>Town</t>
        </is>
      </c>
    </row>
    <row r="98">
      <c r="A98" s="32" t="inlineStr">
        <is>
          <t>TransferNote</t>
        </is>
      </c>
      <c r="B98" s="32" t="inlineStr">
        <is>
          <t>{{Site.Postcode}}</t>
        </is>
      </c>
      <c r="C98" s="32" t="inlineStr">
        <is>
          <t>tblSites</t>
        </is>
      </c>
      <c r="D98" s="32" t="inlineStr">
        <is>
          <t>Postcode</t>
        </is>
      </c>
    </row>
    <row r="99">
      <c r="A99" s="32" t="inlineStr">
        <is>
          <t>TransferNote</t>
        </is>
      </c>
      <c r="B99" s="32" t="inlineStr">
        <is>
          <t>{{Site.What3Words}}</t>
        </is>
      </c>
      <c r="C99" s="32" t="inlineStr">
        <is>
          <t>tblSites</t>
        </is>
      </c>
      <c r="D99" s="32" t="inlineStr">
        <is>
          <t>What3Words</t>
        </is>
      </c>
    </row>
    <row r="100">
      <c r="A100" s="32" t="inlineStr">
        <is>
          <t>TransferNote</t>
        </is>
      </c>
      <c r="B100" s="32" t="inlineStr">
        <is>
          <t>{{Site.AccessNotes}}</t>
        </is>
      </c>
      <c r="C100" s="32" t="inlineStr">
        <is>
          <t>tblSites</t>
        </is>
      </c>
      <c r="D100" s="32" t="inlineStr">
        <is>
          <t>AccessNotes</t>
        </is>
      </c>
    </row>
    <row r="101">
      <c r="A101" s="32" t="inlineStr">
        <is>
          <t>TransferNote</t>
        </is>
      </c>
      <c r="B101" s="32" t="inlineStr">
        <is>
          <t>{{Site.PermitRequired}}</t>
        </is>
      </c>
      <c r="C101" s="32" t="inlineStr">
        <is>
          <t>tblSites</t>
        </is>
      </c>
      <c r="D101" s="32" t="inlineStr">
        <is>
          <t>PermitRequired</t>
        </is>
      </c>
    </row>
    <row r="102">
      <c r="A102" s="32" t="inlineStr">
        <is>
          <t>TransferNote</t>
        </is>
      </c>
      <c r="B102" s="32" t="inlineStr">
        <is>
          <t>{{Site.PermitAuthority}}</t>
        </is>
      </c>
      <c r="C102" s="32" t="inlineStr">
        <is>
          <t>tblSites</t>
        </is>
      </c>
      <c r="D102" s="32" t="inlineStr">
        <is>
          <t>PermitAuthority</t>
        </is>
      </c>
    </row>
    <row r="103">
      <c r="A103" s="32" t="inlineStr">
        <is>
          <t>TransferNote</t>
        </is>
      </c>
      <c r="B103" s="32" t="inlineStr">
        <is>
          <t>{{Site.SiteContact}}</t>
        </is>
      </c>
      <c r="C103" s="32" t="inlineStr">
        <is>
          <t>tblSites</t>
        </is>
      </c>
      <c r="D103" s="32" t="inlineStr">
        <is>
          <t>SiteContact</t>
        </is>
      </c>
    </row>
    <row r="104">
      <c r="A104" s="32" t="inlineStr">
        <is>
          <t>TransferNote</t>
        </is>
      </c>
      <c r="B104" s="32" t="inlineStr">
        <is>
          <t>{{Site.SiteContactPhone}}</t>
        </is>
      </c>
      <c r="C104" s="32" t="inlineStr">
        <is>
          <t>tblSites</t>
        </is>
      </c>
      <c r="D104" s="32" t="inlineStr">
        <is>
          <t>SiteContactPhone</t>
        </is>
      </c>
    </row>
    <row r="105">
      <c r="A105" s="32" t="inlineStr">
        <is>
          <t>TransferNote</t>
        </is>
      </c>
      <c r="B105" s="32" t="inlineStr">
        <is>
          <t>{{Site.Status}}</t>
        </is>
      </c>
      <c r="C105" s="32" t="inlineStr">
        <is>
          <t>tblSites</t>
        </is>
      </c>
      <c r="D105" s="32" t="inlineStr">
        <is>
          <t>Status</t>
        </is>
      </c>
    </row>
    <row r="106">
      <c r="A106" s="32" t="inlineStr">
        <is>
          <t>Customer</t>
        </is>
      </c>
      <c r="B106" s="32" t="inlineStr">
        <is>
          <t>{{Customer.CustomerID}}</t>
        </is>
      </c>
      <c r="C106" s="32" t="inlineStr">
        <is>
          <t>tblCustomers</t>
        </is>
      </c>
      <c r="D106" s="32" t="inlineStr">
        <is>
          <t>CustomerID</t>
        </is>
      </c>
    </row>
    <row r="107">
      <c r="A107" s="32" t="inlineStr">
        <is>
          <t>Customer</t>
        </is>
      </c>
      <c r="B107" s="32" t="inlineStr">
        <is>
          <t>{{Customer.CustomerName}}</t>
        </is>
      </c>
      <c r="C107" s="32" t="inlineStr">
        <is>
          <t>tblCustomers</t>
        </is>
      </c>
      <c r="D107" s="32" t="inlineStr">
        <is>
          <t>CustomerName</t>
        </is>
      </c>
    </row>
    <row r="108">
      <c r="A108" s="32" t="inlineStr">
        <is>
          <t>Customer</t>
        </is>
      </c>
      <c r="B108" s="32" t="inlineStr">
        <is>
          <t>{{Customer.CustomerType}}</t>
        </is>
      </c>
      <c r="C108" s="32" t="inlineStr">
        <is>
          <t>tblCustomers</t>
        </is>
      </c>
      <c r="D108" s="32" t="inlineStr">
        <is>
          <t>CustomerType</t>
        </is>
      </c>
    </row>
    <row r="109">
      <c r="A109" s="32" t="inlineStr">
        <is>
          <t>Customer</t>
        </is>
      </c>
      <c r="B109" s="32" t="inlineStr">
        <is>
          <t>{{Customer.ContactName}}</t>
        </is>
      </c>
      <c r="C109" s="32" t="inlineStr">
        <is>
          <t>tblCustomers</t>
        </is>
      </c>
      <c r="D109" s="32" t="inlineStr">
        <is>
          <t>ContactName</t>
        </is>
      </c>
    </row>
    <row r="110">
      <c r="A110" s="32" t="inlineStr">
        <is>
          <t>Customer</t>
        </is>
      </c>
      <c r="B110" s="32" t="inlineStr">
        <is>
          <t>{{Customer.Email}}</t>
        </is>
      </c>
      <c r="C110" s="32" t="inlineStr">
        <is>
          <t>tblCustomers</t>
        </is>
      </c>
      <c r="D110" s="32" t="inlineStr">
        <is>
          <t>Email</t>
        </is>
      </c>
    </row>
    <row r="111">
      <c r="A111" s="32" t="inlineStr">
        <is>
          <t>Customer</t>
        </is>
      </c>
      <c r="B111" s="32" t="inlineStr">
        <is>
          <t>{{Customer.Phone}}</t>
        </is>
      </c>
      <c r="C111" s="32" t="inlineStr">
        <is>
          <t>tblCustomers</t>
        </is>
      </c>
      <c r="D111" s="32" t="inlineStr">
        <is>
          <t>Phone</t>
        </is>
      </c>
    </row>
    <row r="112">
      <c r="A112" s="32" t="inlineStr">
        <is>
          <t>Customer</t>
        </is>
      </c>
      <c r="B112" s="32" t="inlineStr">
        <is>
          <t>{{Customer.Address1}}</t>
        </is>
      </c>
      <c r="C112" s="32" t="inlineStr">
        <is>
          <t>tblCustomers</t>
        </is>
      </c>
      <c r="D112" s="32" t="inlineStr">
        <is>
          <t>Address1</t>
        </is>
      </c>
    </row>
    <row r="113">
      <c r="A113" s="32" t="inlineStr">
        <is>
          <t>Customer</t>
        </is>
      </c>
      <c r="B113" s="32" t="inlineStr">
        <is>
          <t>{{Customer.Address2}}</t>
        </is>
      </c>
      <c r="C113" s="32" t="inlineStr">
        <is>
          <t>tblCustomers</t>
        </is>
      </c>
      <c r="D113" s="32" t="inlineStr">
        <is>
          <t>Address2</t>
        </is>
      </c>
    </row>
    <row r="114">
      <c r="A114" s="32" t="inlineStr">
        <is>
          <t>Customer</t>
        </is>
      </c>
      <c r="B114" s="32" t="inlineStr">
        <is>
          <t>{{Customer.Town}}</t>
        </is>
      </c>
      <c r="C114" s="32" t="inlineStr">
        <is>
          <t>tblCustomers</t>
        </is>
      </c>
      <c r="D114" s="32" t="inlineStr">
        <is>
          <t>Town</t>
        </is>
      </c>
    </row>
    <row r="115">
      <c r="A115" s="32" t="inlineStr">
        <is>
          <t>Customer</t>
        </is>
      </c>
      <c r="B115" s="32" t="inlineStr">
        <is>
          <t>{{Customer.Postcode}}</t>
        </is>
      </c>
      <c r="C115" s="32" t="inlineStr">
        <is>
          <t>tblCustomers</t>
        </is>
      </c>
      <c r="D115" s="32" t="inlineStr">
        <is>
          <t>Postcode</t>
        </is>
      </c>
    </row>
    <row r="116">
      <c r="A116" s="32" t="inlineStr">
        <is>
          <t>Customer</t>
        </is>
      </c>
      <c r="B116" s="32" t="inlineStr">
        <is>
          <t>{{Customer.VATNumber}}</t>
        </is>
      </c>
      <c r="C116" s="32" t="inlineStr">
        <is>
          <t>tblCustomers</t>
        </is>
      </c>
      <c r="D116" s="32" t="inlineStr">
        <is>
          <t>VATNumber</t>
        </is>
      </c>
    </row>
    <row r="117">
      <c r="A117" s="32" t="inlineStr">
        <is>
          <t>Customer</t>
        </is>
      </c>
      <c r="B117" s="32" t="inlineStr">
        <is>
          <t>{{Customer.PaymentTerms}}</t>
        </is>
      </c>
      <c r="C117" s="32" t="inlineStr">
        <is>
          <t>tblCustomers</t>
        </is>
      </c>
      <c r="D117" s="32" t="inlineStr">
        <is>
          <t>PaymentTerms</t>
        </is>
      </c>
    </row>
    <row r="118">
      <c r="A118" s="32" t="inlineStr">
        <is>
          <t>Customer</t>
        </is>
      </c>
      <c r="B118" s="32" t="inlineStr">
        <is>
          <t>{{Customer.CreditLimit}}</t>
        </is>
      </c>
      <c r="C118" s="32" t="inlineStr">
        <is>
          <t>tblCustomers</t>
        </is>
      </c>
      <c r="D118" s="32" t="inlineStr">
        <is>
          <t>CreditLimit</t>
        </is>
      </c>
    </row>
    <row r="119">
      <c r="A119" s="32" t="inlineStr">
        <is>
          <t>Customer</t>
        </is>
      </c>
      <c r="B119" s="32" t="inlineStr">
        <is>
          <t>{{Customer.OnStop}}</t>
        </is>
      </c>
      <c r="C119" s="32" t="inlineStr">
        <is>
          <t>tblCustomers</t>
        </is>
      </c>
      <c r="D119" s="32" t="inlineStr">
        <is>
          <t>OnStop</t>
        </is>
      </c>
    </row>
    <row r="120">
      <c r="A120" s="32" t="inlineStr">
        <is>
          <t>Customer</t>
        </is>
      </c>
      <c r="B120" s="32" t="inlineStr">
        <is>
          <t>{{Customer.Status}}</t>
        </is>
      </c>
      <c r="C120" s="32" t="inlineStr">
        <is>
          <t>tblCustomers</t>
        </is>
      </c>
      <c r="D120" s="32" t="inlineStr">
        <is>
          <t>Status</t>
        </is>
      </c>
    </row>
    <row r="121">
      <c r="A121" s="32" t="inlineStr">
        <is>
          <t>Customer</t>
        </is>
      </c>
      <c r="B121" s="32" t="inlineStr">
        <is>
          <t>{{Customer.Notes}}</t>
        </is>
      </c>
      <c r="C121" s="32" t="inlineStr">
        <is>
          <t>tblCustomers</t>
        </is>
      </c>
      <c r="D121" s="32" t="inlineStr">
        <is>
          <t>Notes</t>
        </is>
      </c>
    </row>
    <row r="122">
      <c r="A122" s="32" t="inlineStr">
        <is>
          <t>Customer</t>
        </is>
      </c>
      <c r="B122" s="32" t="inlineStr">
        <is>
          <t>{{Customer.CreatedOn}}</t>
        </is>
      </c>
      <c r="C122" s="32" t="inlineStr">
        <is>
          <t>tblCustomers</t>
        </is>
      </c>
      <c r="D122" s="32" t="inlineStr">
        <is>
          <t>CreatedOn</t>
        </is>
      </c>
    </row>
    <row r="123">
      <c r="A123" s="32" t="inlineStr">
        <is>
          <t>Customer</t>
        </is>
      </c>
      <c r="B123" s="32" t="inlineStr">
        <is>
          <t>{{Customer.CreatedBy}}</t>
        </is>
      </c>
      <c r="C123" s="32" t="inlineStr">
        <is>
          <t>tblCustomers</t>
        </is>
      </c>
      <c r="D123" s="32" t="inlineStr">
        <is>
          <t>CreatedBy</t>
        </is>
      </c>
    </row>
    <row r="124">
      <c r="A124" s="32" t="inlineStr">
        <is>
          <t>NCR</t>
        </is>
      </c>
      <c r="B124" s="32" t="inlineStr">
        <is>
          <t>{{NCR.NCRID}}</t>
        </is>
      </c>
      <c r="C124" s="32" t="inlineStr">
        <is>
          <t>tblNCR</t>
        </is>
      </c>
      <c r="D124" s="32" t="inlineStr">
        <is>
          <t>NCRID</t>
        </is>
      </c>
    </row>
    <row r="125">
      <c r="A125" s="32" t="inlineStr">
        <is>
          <t>NCR</t>
        </is>
      </c>
      <c r="B125" s="32" t="inlineStr">
        <is>
          <t>{{NCR.RaisedOn}}</t>
        </is>
      </c>
      <c r="C125" s="32" t="inlineStr">
        <is>
          <t>tblNCR</t>
        </is>
      </c>
      <c r="D125" s="32" t="inlineStr">
        <is>
          <t>RaisedOn</t>
        </is>
      </c>
    </row>
    <row r="126">
      <c r="A126" s="32" t="inlineStr">
        <is>
          <t>NCR</t>
        </is>
      </c>
      <c r="B126" s="32" t="inlineStr">
        <is>
          <t>{{NCR.RaisedBy}}</t>
        </is>
      </c>
      <c r="C126" s="32" t="inlineStr">
        <is>
          <t>tblNCR</t>
        </is>
      </c>
      <c r="D126" s="32" t="inlineStr">
        <is>
          <t>RaisedBy</t>
        </is>
      </c>
    </row>
    <row r="127">
      <c r="A127" s="32" t="inlineStr">
        <is>
          <t>NCR</t>
        </is>
      </c>
      <c r="B127" s="32" t="inlineStr">
        <is>
          <t>{{NCR.Source}}</t>
        </is>
      </c>
      <c r="C127" s="32" t="inlineStr">
        <is>
          <t>tblNCR</t>
        </is>
      </c>
      <c r="D127" s="32" t="inlineStr">
        <is>
          <t>Source</t>
        </is>
      </c>
    </row>
    <row r="128">
      <c r="A128" s="32" t="inlineStr">
        <is>
          <t>NCR</t>
        </is>
      </c>
      <c r="B128" s="32" t="inlineStr">
        <is>
          <t>{{NCR.Type}}</t>
        </is>
      </c>
      <c r="C128" s="32" t="inlineStr">
        <is>
          <t>tblNCR</t>
        </is>
      </c>
      <c r="D128" s="32" t="inlineStr">
        <is>
          <t>Type</t>
        </is>
      </c>
    </row>
    <row r="129">
      <c r="A129" s="32" t="inlineStr">
        <is>
          <t>NCR</t>
        </is>
      </c>
      <c r="B129" s="32" t="inlineStr">
        <is>
          <t>{{NCR.Severity}}</t>
        </is>
      </c>
      <c r="C129" s="32" t="inlineStr">
        <is>
          <t>tblNCR</t>
        </is>
      </c>
      <c r="D129" s="32" t="inlineStr">
        <is>
          <t>Severity</t>
        </is>
      </c>
    </row>
    <row r="130">
      <c r="A130" s="32" t="inlineStr">
        <is>
          <t>NCR</t>
        </is>
      </c>
      <c r="B130" s="32" t="inlineStr">
        <is>
          <t>{{NCR.Description}}</t>
        </is>
      </c>
      <c r="C130" s="32" t="inlineStr">
        <is>
          <t>tblNCR</t>
        </is>
      </c>
      <c r="D130" s="32" t="inlineStr">
        <is>
          <t>Description</t>
        </is>
      </c>
    </row>
    <row r="131">
      <c r="A131" s="32" t="inlineStr">
        <is>
          <t>NCR</t>
        </is>
      </c>
      <c r="B131" s="32" t="inlineStr">
        <is>
          <t>{{NCR.LinkedJobID}}</t>
        </is>
      </c>
      <c r="C131" s="32" t="inlineStr">
        <is>
          <t>tblNCR</t>
        </is>
      </c>
      <c r="D131" s="32" t="inlineStr">
        <is>
          <t>LinkedJobID</t>
        </is>
      </c>
    </row>
    <row r="132">
      <c r="A132" s="32" t="inlineStr">
        <is>
          <t>NCR</t>
        </is>
      </c>
      <c r="B132" s="32" t="inlineStr">
        <is>
          <t>{{NCR.LinkedCustomerID}}</t>
        </is>
      </c>
      <c r="C132" s="32" t="inlineStr">
        <is>
          <t>tblNCR</t>
        </is>
      </c>
      <c r="D132" s="32" t="inlineStr">
        <is>
          <t>LinkedCustomerID</t>
        </is>
      </c>
    </row>
    <row r="133">
      <c r="A133" s="32" t="inlineStr">
        <is>
          <t>NCR</t>
        </is>
      </c>
      <c r="B133" s="32" t="inlineStr">
        <is>
          <t>{{NCR.ImmediateCorrection}}</t>
        </is>
      </c>
      <c r="C133" s="32" t="inlineStr">
        <is>
          <t>tblNCR</t>
        </is>
      </c>
      <c r="D133" s="32" t="inlineStr">
        <is>
          <t>ImmediateCorrection</t>
        </is>
      </c>
    </row>
    <row r="134">
      <c r="A134" s="32" t="inlineStr">
        <is>
          <t>NCR</t>
        </is>
      </c>
      <c r="B134" s="32" t="inlineStr">
        <is>
          <t>{{NCR.RootCause}}</t>
        </is>
      </c>
      <c r="C134" s="32" t="inlineStr">
        <is>
          <t>tblNCR</t>
        </is>
      </c>
      <c r="D134" s="32" t="inlineStr">
        <is>
          <t>RootCause</t>
        </is>
      </c>
    </row>
    <row r="135">
      <c r="A135" s="32" t="inlineStr">
        <is>
          <t>NCR</t>
        </is>
      </c>
      <c r="B135" s="32" t="inlineStr">
        <is>
          <t>{{NCR.CorrectiveAction}}</t>
        </is>
      </c>
      <c r="C135" s="32" t="inlineStr">
        <is>
          <t>tblNCR</t>
        </is>
      </c>
      <c r="D135" s="32" t="inlineStr">
        <is>
          <t>CorrectiveAction</t>
        </is>
      </c>
    </row>
    <row r="136">
      <c r="A136" s="32" t="inlineStr">
        <is>
          <t>NCR</t>
        </is>
      </c>
      <c r="B136" s="32" t="inlineStr">
        <is>
          <t>{{NCR.ActionOwner}}</t>
        </is>
      </c>
      <c r="C136" s="32" t="inlineStr">
        <is>
          <t>tblNCR</t>
        </is>
      </c>
      <c r="D136" s="32" t="inlineStr">
        <is>
          <t>ActionOwner</t>
        </is>
      </c>
    </row>
    <row r="137">
      <c r="A137" s="32" t="inlineStr">
        <is>
          <t>NCR</t>
        </is>
      </c>
      <c r="B137" s="32" t="inlineStr">
        <is>
          <t>{{NCR.DueDate}}</t>
        </is>
      </c>
      <c r="C137" s="32" t="inlineStr">
        <is>
          <t>tblNCR</t>
        </is>
      </c>
      <c r="D137" s="32" t="inlineStr">
        <is>
          <t>DueDate</t>
        </is>
      </c>
    </row>
    <row r="138">
      <c r="A138" s="32" t="inlineStr">
        <is>
          <t>NCR</t>
        </is>
      </c>
      <c r="B138" s="32" t="inlineStr">
        <is>
          <t>{{NCR.ClosedOn}}</t>
        </is>
      </c>
      <c r="C138" s="32" t="inlineStr">
        <is>
          <t>tblNCR</t>
        </is>
      </c>
      <c r="D138" s="32" t="inlineStr">
        <is>
          <t>ClosedOn</t>
        </is>
      </c>
    </row>
    <row r="139">
      <c r="A139" s="32" t="inlineStr">
        <is>
          <t>NCR</t>
        </is>
      </c>
      <c r="B139" s="32" t="inlineStr">
        <is>
          <t>{{NCR.EffectivenessCheck}}</t>
        </is>
      </c>
      <c r="C139" s="32" t="inlineStr">
        <is>
          <t>tblNCR</t>
        </is>
      </c>
      <c r="D139" s="32" t="inlineStr">
        <is>
          <t>EffectivenessCheck</t>
        </is>
      </c>
    </row>
    <row r="140">
      <c r="A140" s="32" t="inlineStr">
        <is>
          <t>NCR</t>
        </is>
      </c>
      <c r="B140" s="32" t="inlineStr">
        <is>
          <t>{{NCR.Status}}</t>
        </is>
      </c>
      <c r="C140" s="32" t="inlineStr">
        <is>
          <t>tblNCR</t>
        </is>
      </c>
      <c r="D140" s="32" t="inlineStr">
        <is>
          <t>Status</t>
        </is>
      </c>
    </row>
    <row r="141">
      <c r="A141" s="32" t="inlineStr">
        <is>
          <t>NCR</t>
        </is>
      </c>
      <c r="B141" s="32" t="inlineStr">
        <is>
          <t>{{NCR.DaysOpen}}</t>
        </is>
      </c>
      <c r="C141" s="32" t="inlineStr">
        <is>
          <t>tblNCR</t>
        </is>
      </c>
      <c r="D141" s="32" t="inlineStr">
        <is>
          <t>DaysOpen</t>
        </is>
      </c>
    </row>
    <row r="142">
      <c r="A142" s="32" t="inlineStr">
        <is>
          <t>NCR</t>
        </is>
      </c>
      <c r="B142" s="32" t="inlineStr">
        <is>
          <t>{{NCR.Overdue}}</t>
        </is>
      </c>
      <c r="C142" s="32" t="inlineStr">
        <is>
          <t>tblNCR</t>
        </is>
      </c>
      <c r="D142" s="32" t="inlineStr">
        <is>
          <t>Overdue</t>
        </is>
      </c>
    </row>
    <row r="143">
      <c r="A143" s="32" t="inlineStr">
        <is>
          <t>Any</t>
        </is>
      </c>
      <c r="B143" s="32" t="inlineStr">
        <is>
          <t>{{Config.CompanyName}}</t>
        </is>
      </c>
      <c r="C143" s="32" t="inlineStr">
        <is>
          <t>tblConfig</t>
        </is>
      </c>
      <c r="D143" s="32" t="inlineStr">
        <is>
          <t>From the Config sheet.</t>
        </is>
      </c>
    </row>
    <row r="144">
      <c r="A144" s="32" t="inlineStr">
        <is>
          <t>Any</t>
        </is>
      </c>
      <c r="B144" s="32" t="inlineStr">
        <is>
          <t>{{Config.CompanyAddress}}</t>
        </is>
      </c>
      <c r="C144" s="32" t="inlineStr">
        <is>
          <t>tblConfig</t>
        </is>
      </c>
      <c r="D144" s="32" t="inlineStr">
        <is>
          <t>Single line - it is written straight onto documents.</t>
        </is>
      </c>
    </row>
    <row r="145">
      <c r="A145" s="32" t="inlineStr">
        <is>
          <t>Any</t>
        </is>
      </c>
      <c r="B145" s="32" t="inlineStr">
        <is>
          <t>{{Config.CompanyPostcode}}</t>
        </is>
      </c>
      <c r="C145" s="32" t="inlineStr">
        <is>
          <t>tblConfig</t>
        </is>
      </c>
      <c r="D145" s="32" t="inlineStr">
        <is>
          <t>From the Config sheet.</t>
        </is>
      </c>
    </row>
    <row r="146">
      <c r="A146" s="32" t="inlineStr">
        <is>
          <t>Any</t>
        </is>
      </c>
      <c r="B146" s="32" t="inlineStr">
        <is>
          <t>{{Config.CompanyPhone}}</t>
        </is>
      </c>
      <c r="C146" s="32" t="inlineStr">
        <is>
          <t>tblConfig</t>
        </is>
      </c>
      <c r="D146" s="32" t="inlineStr">
        <is>
          <t>From the Config sheet.</t>
        </is>
      </c>
    </row>
    <row r="147">
      <c r="A147" s="32" t="inlineStr">
        <is>
          <t>Any</t>
        </is>
      </c>
      <c r="B147" s="32" t="inlineStr">
        <is>
          <t>{{Config.CompanyEmail}}</t>
        </is>
      </c>
      <c r="C147" s="32" t="inlineStr">
        <is>
          <t>tblConfig</t>
        </is>
      </c>
      <c r="D147" s="32" t="inlineStr">
        <is>
          <t>From the Config sheet.</t>
        </is>
      </c>
    </row>
    <row r="148">
      <c r="A148" s="32" t="inlineStr">
        <is>
          <t>Any</t>
        </is>
      </c>
      <c r="B148" s="32" t="inlineStr">
        <is>
          <t>{{Config.CompanyVATNumber}}</t>
        </is>
      </c>
      <c r="C148" s="32" t="inlineStr">
        <is>
          <t>tblConfig</t>
        </is>
      </c>
      <c r="D148" s="32" t="inlineStr">
        <is>
          <t>From the Config sheet.</t>
        </is>
      </c>
    </row>
    <row r="149">
      <c r="A149" s="32" t="inlineStr">
        <is>
          <t>Any</t>
        </is>
      </c>
      <c r="B149" s="32" t="inlineStr">
        <is>
          <t>{{Config.CarrierLicence}}</t>
        </is>
      </c>
      <c r="C149" s="32" t="inlineStr">
        <is>
          <t>tblConfig</t>
        </is>
      </c>
      <c r="D149" s="32" t="inlineStr">
        <is>
          <t>Waste carrier registration. Legally required on every transfer note.</t>
        </is>
      </c>
    </row>
    <row r="150">
      <c r="A150" s="32" t="inlineStr">
        <is>
          <t>Any</t>
        </is>
      </c>
      <c r="B150" s="32" t="inlineStr">
        <is>
          <t>{{Config.EnvironmentalPermit}}</t>
        </is>
      </c>
      <c r="C150" s="32" t="inlineStr">
        <is>
          <t>tblConfig</t>
        </is>
      </c>
      <c r="D150" s="32" t="inlineStr">
        <is>
          <t>Permit number for the transfer station.</t>
        </is>
      </c>
    </row>
    <row r="151">
      <c r="A151" s="32" t="inlineStr">
        <is>
          <t>Any</t>
        </is>
      </c>
      <c r="B151" s="32" t="inlineStr">
        <is>
          <t>{{Config.CompanySICCode}}</t>
        </is>
      </c>
      <c r="C151" s="32" t="inlineStr">
        <is>
          <t>tblConfig</t>
        </is>
      </c>
      <c r="D151" s="32" t="inlineStr">
        <is>
          <t>Recovery of sorted materials. Change if yours differs.</t>
        </is>
      </c>
    </row>
    <row r="152">
      <c r="A152" s="32" t="inlineStr">
        <is>
          <t>Any</t>
        </is>
      </c>
      <c r="B152" s="32" t="inlineStr">
        <is>
          <t>{{Today}}</t>
        </is>
      </c>
      <c r="C152" s="32" t="inlineStr">
        <is>
          <t>-</t>
        </is>
      </c>
      <c r="D152" s="32" t="inlineStr">
        <is>
          <t>Today's date, dd/mm/yyyy.</t>
        </is>
      </c>
    </row>
    <row r="153">
      <c r="A153" s="32" t="inlineStr">
        <is>
          <t>Any</t>
        </is>
      </c>
      <c r="B153" s="32" t="inlineStr">
        <is>
          <t>{{Now}}</t>
        </is>
      </c>
      <c r="C153" s="32" t="inlineStr">
        <is>
          <t>-</t>
        </is>
      </c>
      <c r="D153" s="32" t="inlineStr">
        <is>
          <t>Date and time the document was generated.</t>
        </is>
      </c>
    </row>
    <row r="154">
      <c r="A154" s="32" t="inlineStr">
        <is>
          <t>Any</t>
        </is>
      </c>
      <c r="B154" s="32" t="inlineStr">
        <is>
          <t>{{User}}</t>
        </is>
      </c>
      <c r="C154" s="32" t="inlineStr">
        <is>
          <t>-</t>
        </is>
      </c>
      <c r="D154" s="32" t="inlineStr">
        <is>
          <t>Config &gt; CurrentUser.</t>
        </is>
      </c>
    </row>
    <row r="155">
      <c r="A155" s="32" t="inlineStr">
        <is>
          <t>Any</t>
        </is>
      </c>
      <c r="B155" s="32" t="inlineStr">
        <is>
          <t>{{DocRef}}</t>
        </is>
      </c>
      <c r="C155" s="32" t="inlineStr">
        <is>
          <t>-</t>
        </is>
      </c>
      <c r="D155" s="32" t="inlineStr">
        <is>
          <t>The reference allocated to this document.</t>
        </is>
      </c>
    </row>
    <row r="156">
      <c r="A156" s="32" t="inlineStr">
        <is>
          <t>Any</t>
        </is>
      </c>
      <c r="B156" s="32" t="inlineStr">
        <is>
          <t>{{Name}}</t>
        </is>
      </c>
      <c r="C156" s="32" t="inlineStr">
        <is>
          <t>-</t>
        </is>
      </c>
      <c r="D156" s="32" t="inlineStr">
        <is>
          <t>Free text asked for at generation time (manual templates).</t>
        </is>
      </c>
    </row>
    <row r="157">
      <c r="A157" s="32" t="inlineStr">
        <is>
          <t>Any</t>
        </is>
      </c>
      <c r="B157" s="32" t="inlineStr">
        <is>
          <t>{{Date}}</t>
        </is>
      </c>
      <c r="C157" s="32" t="inlineStr">
        <is>
          <t>-</t>
        </is>
      </c>
      <c r="D157" s="32" t="inlineStr">
        <is>
          <t>Free text date asked for at generation time (manual templates).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37" t="inlineStr">
        <is>
          <t>CustomerID</t>
        </is>
      </c>
      <c r="B1" s="37" t="inlineStr">
        <is>
          <t>CustomerName</t>
        </is>
      </c>
      <c r="C1" s="37" t="inlineStr">
        <is>
          <t>CustomerType</t>
        </is>
      </c>
      <c r="D1" s="37" t="inlineStr">
        <is>
          <t>ContactName</t>
        </is>
      </c>
      <c r="E1" s="37" t="inlineStr">
        <is>
          <t>Email</t>
        </is>
      </c>
      <c r="F1" s="37" t="inlineStr">
        <is>
          <t>Phone</t>
        </is>
      </c>
      <c r="G1" s="37" t="inlineStr">
        <is>
          <t>Address1</t>
        </is>
      </c>
      <c r="H1" s="37" t="inlineStr">
        <is>
          <t>Address2</t>
        </is>
      </c>
      <c r="I1" s="37" t="inlineStr">
        <is>
          <t>Town</t>
        </is>
      </c>
      <c r="J1" s="37" t="inlineStr">
        <is>
          <t>Postcode</t>
        </is>
      </c>
      <c r="K1" s="37" t="inlineStr">
        <is>
          <t>VATNumber</t>
        </is>
      </c>
      <c r="L1" s="37" t="inlineStr">
        <is>
          <t>PaymentTerms</t>
        </is>
      </c>
      <c r="M1" s="37" t="inlineStr">
        <is>
          <t>CreditLimit</t>
        </is>
      </c>
      <c r="N1" s="37" t="inlineStr">
        <is>
          <t>OnStop</t>
        </is>
      </c>
      <c r="O1" s="37" t="inlineStr">
        <is>
          <t>Status</t>
        </is>
      </c>
      <c r="P1" s="37" t="inlineStr">
        <is>
          <t>Notes</t>
        </is>
      </c>
      <c r="Q1" s="37" t="inlineStr">
        <is>
          <t>CreatedOn</t>
        </is>
      </c>
      <c r="R1" s="37" t="inlineStr">
        <is>
          <t>CreatedBy</t>
        </is>
      </c>
    </row>
    <row r="2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7" t="inlineStr">
        <is>
          <t>SiteID</t>
        </is>
      </c>
      <c r="B1" s="37" t="inlineStr">
        <is>
          <t>CustomerID</t>
        </is>
      </c>
      <c r="C1" s="37" t="inlineStr">
        <is>
          <t>SiteName</t>
        </is>
      </c>
      <c r="D1" s="37" t="inlineStr">
        <is>
          <t>Address1</t>
        </is>
      </c>
      <c r="E1" s="37" t="inlineStr">
        <is>
          <t>Town</t>
        </is>
      </c>
      <c r="F1" s="37" t="inlineStr">
        <is>
          <t>Postcode</t>
        </is>
      </c>
      <c r="G1" s="37" t="inlineStr">
        <is>
          <t>What3Words</t>
        </is>
      </c>
      <c r="H1" s="37" t="inlineStr">
        <is>
          <t>AccessNotes</t>
        </is>
      </c>
      <c r="I1" s="37" t="inlineStr">
        <is>
          <t>PermitRequired</t>
        </is>
      </c>
      <c r="J1" s="37" t="inlineStr">
        <is>
          <t>PermitAuthority</t>
        </is>
      </c>
      <c r="K1" s="37" t="inlineStr">
        <is>
          <t>SiteContact</t>
        </is>
      </c>
      <c r="L1" s="37" t="inlineStr">
        <is>
          <t>SiteContactPhone</t>
        </is>
      </c>
      <c r="M1" s="37" t="inlineStr">
        <is>
          <t>Status</t>
        </is>
      </c>
    </row>
    <row r="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7" t="inlineStr">
        <is>
          <t>AssetID</t>
        </is>
      </c>
      <c r="B1" s="37" t="inlineStr">
        <is>
          <t>AssetRef</t>
        </is>
      </c>
      <c r="C1" s="37" t="inlineStr">
        <is>
          <t>ContainerType</t>
        </is>
      </c>
      <c r="D1" s="37" t="inlineStr">
        <is>
          <t>SizeYd3</t>
        </is>
      </c>
      <c r="E1" s="37" t="inlineStr">
        <is>
          <t>AcquiredOn</t>
        </is>
      </c>
      <c r="F1" s="37" t="inlineStr">
        <is>
          <t>Status</t>
        </is>
      </c>
      <c r="G1" s="37" t="inlineStr">
        <is>
          <t>CurrentSiteID</t>
        </is>
      </c>
      <c r="H1" s="37" t="inlineStr">
        <is>
          <t>CurrentJobID</t>
        </is>
      </c>
      <c r="I1" s="37" t="inlineStr">
        <is>
          <t>OnHireSince</t>
        </is>
      </c>
      <c r="J1" s="37" t="inlineStr">
        <is>
          <t>LastInspection</t>
        </is>
      </c>
      <c r="K1" s="37" t="inlineStr">
        <is>
          <t>InspectionMonths</t>
        </is>
      </c>
      <c r="L1" s="37" t="inlineStr">
        <is>
          <t>NextInspection</t>
        </is>
      </c>
      <c r="M1" s="37" t="inlineStr">
        <is>
          <t>Notes</t>
        </is>
      </c>
      <c r="N1" s="37" t="inlineStr">
        <is>
          <t>DaysOnHire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7" t="inlineStr">
        <is>
          <t>VehicleID</t>
        </is>
      </c>
      <c r="B1" s="37" t="inlineStr">
        <is>
          <t>Registration</t>
        </is>
      </c>
      <c r="C1" s="37" t="inlineStr">
        <is>
          <t>VehicleType</t>
        </is>
      </c>
      <c r="D1" s="37" t="inlineStr">
        <is>
          <t>MakeModel</t>
        </is>
      </c>
      <c r="E1" s="37" t="inlineStr">
        <is>
          <t>GrossWeightKg</t>
        </is>
      </c>
      <c r="F1" s="37" t="inlineStr">
        <is>
          <t>UnladenWeightKg</t>
        </is>
      </c>
      <c r="G1" s="37" t="inlineStr">
        <is>
          <t>TaxDue</t>
        </is>
      </c>
      <c r="H1" s="37" t="inlineStr">
        <is>
          <t>MOTDue</t>
        </is>
      </c>
      <c r="I1" s="37" t="inlineStr">
        <is>
          <t>InsuranceDue</t>
        </is>
      </c>
      <c r="J1" s="37" t="inlineStr">
        <is>
          <t>LOLERDue</t>
        </is>
      </c>
      <c r="K1" s="37" t="inlineStr">
        <is>
          <t>TachoCalDue</t>
        </is>
      </c>
      <c r="L1" s="37" t="inlineStr">
        <is>
          <t>ServiceDue</t>
        </is>
      </c>
      <c r="M1" s="37" t="inlineStr">
        <is>
          <t>OLicenceRef</t>
        </is>
      </c>
      <c r="N1" s="37" t="inlineStr">
        <is>
          <t>Status</t>
        </is>
      </c>
    </row>
    <row r="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7" t="inlineStr">
        <is>
          <t>DriverID</t>
        </is>
      </c>
      <c r="B1" s="37" t="inlineStr">
        <is>
          <t>StaffID</t>
        </is>
      </c>
      <c r="C1" s="37" t="inlineStr">
        <is>
          <t>FullName</t>
        </is>
      </c>
      <c r="D1" s="37" t="inlineStr">
        <is>
          <t>Mobile</t>
        </is>
      </c>
      <c r="E1" s="37" t="inlineStr">
        <is>
          <t>LicenceNumber</t>
        </is>
      </c>
      <c r="F1" s="37" t="inlineStr">
        <is>
          <t>LicenceExpiry</t>
        </is>
      </c>
      <c r="G1" s="37" t="inlineStr">
        <is>
          <t>CPCExpiry</t>
        </is>
      </c>
      <c r="H1" s="37" t="inlineStr">
        <is>
          <t>ADRExpiry</t>
        </is>
      </c>
      <c r="I1" s="37" t="inlineStr">
        <is>
          <t>MedicalDue</t>
        </is>
      </c>
      <c r="J1" s="37" t="inlineStr">
        <is>
          <t>StartDate</t>
        </is>
      </c>
      <c r="K1" s="37" t="inlineStr">
        <is>
          <t>Status</t>
        </is>
      </c>
    </row>
    <row r="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7" t="inlineStr">
        <is>
          <t>StaffID</t>
        </is>
      </c>
      <c r="B1" s="37" t="inlineStr">
        <is>
          <t>FullName</t>
        </is>
      </c>
      <c r="C1" s="37" t="inlineStr">
        <is>
          <t>Role</t>
        </is>
      </c>
      <c r="D1" s="37" t="inlineStr">
        <is>
          <t>Department</t>
        </is>
      </c>
      <c r="E1" s="37" t="inlineStr">
        <is>
          <t>Email</t>
        </is>
      </c>
      <c r="F1" s="37" t="inlineStr">
        <is>
          <t>StartDate</t>
        </is>
      </c>
      <c r="G1" s="37" t="inlineStr">
        <is>
          <t>Status</t>
        </is>
      </c>
    </row>
    <row r="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7" t="inlineStr">
        <is>
          <t>EWCCode</t>
        </is>
      </c>
      <c r="B1" s="37" t="inlineStr">
        <is>
          <t>Description</t>
        </is>
      </c>
      <c r="C1" s="37" t="inlineStr">
        <is>
          <t>StreamGroup</t>
        </is>
      </c>
      <c r="D1" s="37" t="inlineStr">
        <is>
          <t>Hazardous</t>
        </is>
      </c>
      <c r="E1" s="37" t="inlineStr">
        <is>
          <t>RecoveryRoute</t>
        </is>
      </c>
      <c r="F1" s="37" t="inlineStr">
        <is>
          <t>DefaultOutletID</t>
        </is>
      </c>
      <c r="G1" s="37" t="inlineStr">
        <is>
          <t>LandfillTaxBand</t>
        </is>
      </c>
      <c r="H1" s="37" t="inlineStr">
        <is>
          <t>Notes</t>
        </is>
      </c>
    </row>
    <row r="2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7" t="inlineStr">
        <is>
          <t>OutletID</t>
        </is>
      </c>
      <c r="B1" s="37" t="inlineStr">
        <is>
          <t>OutletName</t>
        </is>
      </c>
      <c r="C1" s="37" t="inlineStr">
        <is>
          <t>OutletType</t>
        </is>
      </c>
      <c r="D1" s="37" t="inlineStr">
        <is>
          <t>PermitNumber</t>
        </is>
      </c>
      <c r="E1" s="37" t="inlineStr">
        <is>
          <t>PermitExpiry</t>
        </is>
      </c>
      <c r="F1" s="37" t="inlineStr">
        <is>
          <t>PermitVerifiedOn</t>
        </is>
      </c>
      <c r="G1" s="37" t="inlineStr">
        <is>
          <t>Address</t>
        </is>
      </c>
      <c r="H1" s="37" t="inlineStr">
        <is>
          <t>Postcode</t>
        </is>
      </c>
      <c r="I1" s="37" t="inlineStr">
        <is>
          <t>AcceptedEWC</t>
        </is>
      </c>
      <c r="J1" s="37" t="inlineStr">
        <is>
          <t>GateFeePerTonne</t>
        </is>
      </c>
      <c r="K1" s="37" t="inlineStr">
        <is>
          <t>Contact</t>
        </is>
      </c>
      <c r="L1" s="37" t="inlineStr">
        <is>
          <t>Status</t>
        </is>
      </c>
    </row>
    <row r="2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7" t="inlineStr">
        <is>
          <t>PriceID</t>
        </is>
      </c>
      <c r="B1" s="37" t="inlineStr">
        <is>
          <t>EffectiveFrom</t>
        </is>
      </c>
      <c r="C1" s="37" t="inlineStr">
        <is>
          <t>EffectiveTo</t>
        </is>
      </c>
      <c r="D1" s="37" t="inlineStr">
        <is>
          <t>CustomerID</t>
        </is>
      </c>
      <c r="E1" s="37" t="inlineStr">
        <is>
          <t>ServiceType</t>
        </is>
      </c>
      <c r="F1" s="37" t="inlineStr">
        <is>
          <t>ContainerType</t>
        </is>
      </c>
      <c r="G1" s="37" t="inlineStr">
        <is>
          <t>WasteGroup</t>
        </is>
      </c>
      <c r="H1" s="37" t="inlineStr">
        <is>
          <t>HireDaysIncluded</t>
        </is>
      </c>
      <c r="I1" s="37" t="inlineStr">
        <is>
          <t>Price</t>
        </is>
      </c>
      <c r="J1" s="37" t="inlineStr">
        <is>
          <t>ExcessPerDay</t>
        </is>
      </c>
      <c r="K1" s="37" t="inlineStr">
        <is>
          <t>TonnageIncluded</t>
        </is>
      </c>
      <c r="L1" s="37" t="inlineStr">
        <is>
          <t>ExcessPerTonne</t>
        </is>
      </c>
      <c r="M1" s="37" t="inlineStr">
        <is>
          <t>Notes</t>
        </is>
      </c>
    </row>
    <row r="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7" t="inlineStr">
        <is>
          <t>SupplierID</t>
        </is>
      </c>
      <c r="B1" s="37" t="inlineStr">
        <is>
          <t>SupplierName</t>
        </is>
      </c>
      <c r="C1" s="37" t="inlineStr">
        <is>
          <t>Category</t>
        </is>
      </c>
      <c r="D1" s="37" t="inlineStr">
        <is>
          <t>Contact</t>
        </is>
      </c>
      <c r="E1" s="37" t="inlineStr">
        <is>
          <t>Email</t>
        </is>
      </c>
      <c r="F1" s="37" t="inlineStr">
        <is>
          <t>Phone</t>
        </is>
      </c>
      <c r="G1" s="37" t="inlineStr">
        <is>
          <t>ApprovalStatus</t>
        </is>
      </c>
      <c r="H1" s="37" t="inlineStr">
        <is>
          <t>CarrierLicence</t>
        </is>
      </c>
      <c r="I1" s="37" t="inlineStr">
        <is>
          <t>CarrierLicExpiry</t>
        </is>
      </c>
      <c r="J1" s="37" t="inlineStr">
        <is>
          <t>InsuranceExpiry</t>
        </is>
      </c>
      <c r="K1" s="37" t="inlineStr">
        <is>
          <t>LastReviewDate</t>
        </is>
      </c>
      <c r="L1" s="37" t="inlineStr">
        <is>
          <t>ReviewMonths</t>
        </is>
      </c>
      <c r="M1" s="37" t="inlineStr">
        <is>
          <t>NextReviewDue</t>
        </is>
      </c>
      <c r="N1" s="37" t="inlineStr">
        <is>
          <t>Notes</t>
        </is>
      </c>
    </row>
    <row r="2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37" t="inlineStr">
        <is>
          <t>JobID</t>
        </is>
      </c>
      <c r="B1" s="37" t="inlineStr">
        <is>
          <t>CreatedOn</t>
        </is>
      </c>
      <c r="C1" s="37" t="inlineStr">
        <is>
          <t>CustomerID</t>
        </is>
      </c>
      <c r="D1" s="37" t="inlineStr">
        <is>
          <t>SiteID</t>
        </is>
      </c>
      <c r="E1" s="37" t="inlineStr">
        <is>
          <t>ServiceType</t>
        </is>
      </c>
      <c r="F1" s="37" t="inlineStr">
        <is>
          <t>ContainerType</t>
        </is>
      </c>
      <c r="G1" s="37" t="inlineStr">
        <is>
          <t>AssetID</t>
        </is>
      </c>
      <c r="H1" s="37" t="inlineStr">
        <is>
          <t>RequestedDate</t>
        </is>
      </c>
      <c r="I1" s="37" t="inlineStr">
        <is>
          <t>ScheduledDate</t>
        </is>
      </c>
      <c r="J1" s="37" t="inlineStr">
        <is>
          <t>CompletedDate</t>
        </is>
      </c>
      <c r="K1" s="37" t="inlineStr">
        <is>
          <t>Status</t>
        </is>
      </c>
      <c r="L1" s="37" t="inlineStr">
        <is>
          <t>DriverID</t>
        </is>
      </c>
      <c r="M1" s="37" t="inlineStr">
        <is>
          <t>VehicleReg</t>
        </is>
      </c>
      <c r="N1" s="37" t="inlineStr">
        <is>
          <t>PermitRef</t>
        </is>
      </c>
      <c r="O1" s="37" t="inlineStr">
        <is>
          <t>PONumber</t>
        </is>
      </c>
      <c r="P1" s="37" t="inlineStr">
        <is>
          <t>PriceAgreed</t>
        </is>
      </c>
      <c r="Q1" s="37" t="inlineStr">
        <is>
          <t>EWCCode</t>
        </is>
      </c>
      <c r="R1" s="37" t="inlineStr">
        <is>
          <t>WasteDescription</t>
        </is>
      </c>
      <c r="S1" s="37" t="inlineStr">
        <is>
          <t>DaysOnHire</t>
        </is>
      </c>
      <c r="T1" s="37" t="inlineStr">
        <is>
          <t>SourceRef</t>
        </is>
      </c>
      <c r="U1" s="37" t="inlineStr">
        <is>
          <t>Notes</t>
        </is>
      </c>
      <c r="V1" s="37" t="inlineStr">
        <is>
          <t>MonthStart</t>
        </is>
      </c>
      <c r="W1" s="37" t="inlineStr">
        <is>
          <t>IsOpen</t>
        </is>
      </c>
      <c r="X1" s="37" t="inlineStr">
        <is>
          <t>CustomerName</t>
        </is>
      </c>
      <c r="Y1" s="37" t="inlineStr">
        <is>
          <t>SitePostcode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7" t="inlineStr">
        <is>
          <t>MovementID</t>
        </is>
      </c>
      <c r="B1" s="37" t="inlineStr">
        <is>
          <t>JobID</t>
        </is>
      </c>
      <c r="C1" s="37" t="inlineStr">
        <is>
          <t>MovementType</t>
        </is>
      </c>
      <c r="D1" s="37" t="inlineStr">
        <is>
          <t>MovementDateTime</t>
        </is>
      </c>
      <c r="E1" s="37" t="inlineStr">
        <is>
          <t>AssetID</t>
        </is>
      </c>
      <c r="F1" s="37" t="inlineStr">
        <is>
          <t>FromLocation</t>
        </is>
      </c>
      <c r="G1" s="37" t="inlineStr">
        <is>
          <t>ToLocation</t>
        </is>
      </c>
      <c r="H1" s="37" t="inlineStr">
        <is>
          <t>DriverID</t>
        </is>
      </c>
      <c r="I1" s="37" t="inlineStr">
        <is>
          <t>VehicleReg</t>
        </is>
      </c>
      <c r="J1" s="37" t="inlineStr">
        <is>
          <t>Notes</t>
        </is>
      </c>
    </row>
    <row r="2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37" t="inlineStr">
        <is>
          <t>TicketNo</t>
        </is>
      </c>
      <c r="B1" s="37" t="inlineStr">
        <is>
          <t>TicketDateTime</t>
        </is>
      </c>
      <c r="C1" s="37" t="inlineStr">
        <is>
          <t>Direction</t>
        </is>
      </c>
      <c r="D1" s="37" t="inlineStr">
        <is>
          <t>VehicleReg</t>
        </is>
      </c>
      <c r="E1" s="37" t="inlineStr">
        <is>
          <t>JobID</t>
        </is>
      </c>
      <c r="F1" s="37" t="inlineStr">
        <is>
          <t>CustomerID</t>
        </is>
      </c>
      <c r="G1" s="37" t="inlineStr">
        <is>
          <t>OutletID</t>
        </is>
      </c>
      <c r="H1" s="37" t="inlineStr">
        <is>
          <t>EWCCode</t>
        </is>
      </c>
      <c r="I1" s="37" t="inlineStr">
        <is>
          <t>GrossKg</t>
        </is>
      </c>
      <c r="J1" s="37" t="inlineStr">
        <is>
          <t>TareKg</t>
        </is>
      </c>
      <c r="K1" s="37" t="inlineStr">
        <is>
          <t>NetKg</t>
        </is>
      </c>
      <c r="L1" s="37" t="inlineStr">
        <is>
          <t>NetTonnes</t>
        </is>
      </c>
      <c r="M1" s="37" t="inlineStr">
        <is>
          <t>Weighbridge</t>
        </is>
      </c>
      <c r="N1" s="37" t="inlineStr">
        <is>
          <t>Operator</t>
        </is>
      </c>
      <c r="O1" s="37" t="inlineStr">
        <is>
          <t>Source</t>
        </is>
      </c>
      <c r="P1" s="37" t="inlineStr">
        <is>
          <t>ImportBatch</t>
        </is>
      </c>
      <c r="Q1" s="37" t="inlineStr">
        <is>
          <t>Matched</t>
        </is>
      </c>
      <c r="R1" s="37" t="inlineStr">
        <is>
          <t>Notes</t>
        </is>
      </c>
      <c r="S1" s="37" t="inlineStr">
        <is>
          <t>StreamGroup</t>
        </is>
      </c>
      <c r="T1" s="37" t="inlineStr">
        <is>
          <t>RecoveryRoute</t>
        </is>
      </c>
      <c r="U1" s="37" t="inlineStr">
        <is>
          <t>Hazardous</t>
        </is>
      </c>
      <c r="V1" s="37" t="inlineStr">
        <is>
          <t>MonthStart</t>
        </is>
      </c>
      <c r="W1" s="37" t="inlineStr">
        <is>
          <t>NetT</t>
        </is>
      </c>
      <c r="X1" s="37" t="inlineStr">
        <is>
          <t>CustomerName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37" t="inlineStr">
        <is>
          <t>WTNRef</t>
        </is>
      </c>
      <c r="B1" s="37" t="inlineStr">
        <is>
          <t>DocType</t>
        </is>
      </c>
      <c r="C1" s="37" t="inlineStr">
        <is>
          <t>IssueDate</t>
        </is>
      </c>
      <c r="D1" s="37" t="inlineStr">
        <is>
          <t>JobID</t>
        </is>
      </c>
      <c r="E1" s="37" t="inlineStr">
        <is>
          <t>CustomerID</t>
        </is>
      </c>
      <c r="F1" s="37" t="inlineStr">
        <is>
          <t>SiteID</t>
        </is>
      </c>
      <c r="G1" s="37" t="inlineStr">
        <is>
          <t>EWCCode</t>
        </is>
      </c>
      <c r="H1" s="37" t="inlineStr">
        <is>
          <t>WasteDescription</t>
        </is>
      </c>
      <c r="I1" s="37" t="inlineStr">
        <is>
          <t>SICCode</t>
        </is>
      </c>
      <c r="J1" s="37" t="inlineStr">
        <is>
          <t>ContainerType</t>
        </is>
      </c>
      <c r="K1" s="37" t="inlineStr">
        <is>
          <t>QuantityTonnes</t>
        </is>
      </c>
      <c r="L1" s="37" t="inlineStr">
        <is>
          <t>CarrierLicence</t>
        </is>
      </c>
      <c r="M1" s="37" t="inlineStr">
        <is>
          <t>ProducerSignedBy</t>
        </is>
      </c>
      <c r="N1" s="37" t="inlineStr">
        <is>
          <t>ProducerSignedOn</t>
        </is>
      </c>
      <c r="O1" s="37" t="inlineStr">
        <is>
          <t>CarrierSignedBy</t>
        </is>
      </c>
      <c r="P1" s="37" t="inlineStr">
        <is>
          <t>DocumentPath</t>
        </is>
      </c>
      <c r="Q1" s="37" t="inlineStr">
        <is>
          <t>RetentionUntil</t>
        </is>
      </c>
      <c r="R1" s="37" t="inlineStr">
        <is>
          <t>Status</t>
        </is>
      </c>
      <c r="S1" s="37" t="inlineStr">
        <is>
          <t>MonthStart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37" t="inlineStr">
        <is>
          <t>LineID</t>
        </is>
      </c>
      <c r="B1" s="37" t="inlineStr">
        <is>
          <t>InvoiceNo</t>
        </is>
      </c>
      <c r="C1" s="37" t="inlineStr">
        <is>
          <t>InvoiceDate</t>
        </is>
      </c>
      <c r="D1" s="37" t="inlineStr">
        <is>
          <t>CustomerID</t>
        </is>
      </c>
      <c r="E1" s="37" t="inlineStr">
        <is>
          <t>JobID</t>
        </is>
      </c>
      <c r="F1" s="37" t="inlineStr">
        <is>
          <t>Description</t>
        </is>
      </c>
      <c r="G1" s="37" t="inlineStr">
        <is>
          <t>Qty</t>
        </is>
      </c>
      <c r="H1" s="37" t="inlineStr">
        <is>
          <t>UOM</t>
        </is>
      </c>
      <c r="I1" s="37" t="inlineStr">
        <is>
          <t>UnitPrice</t>
        </is>
      </c>
      <c r="J1" s="37" t="inlineStr">
        <is>
          <t>NetAmount</t>
        </is>
      </c>
      <c r="K1" s="37" t="inlineStr">
        <is>
          <t>VATRate</t>
        </is>
      </c>
      <c r="L1" s="37" t="inlineStr">
        <is>
          <t>VATAmount</t>
        </is>
      </c>
      <c r="M1" s="37" t="inlineStr">
        <is>
          <t>GrossAmount</t>
        </is>
      </c>
      <c r="N1" s="37" t="inlineStr">
        <is>
          <t>Status</t>
        </is>
      </c>
      <c r="O1" s="37" t="inlineStr">
        <is>
          <t>ExportedOn</t>
        </is>
      </c>
      <c r="P1" s="37" t="inlineStr">
        <is>
          <t>MonthStart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37" t="inlineStr">
        <is>
          <t>EmailID</t>
        </is>
      </c>
      <c r="B1" s="37" t="inlineStr">
        <is>
          <t>ReceivedOn</t>
        </is>
      </c>
      <c r="C1" s="37" t="inlineStr">
        <is>
          <t>SenderName</t>
        </is>
      </c>
      <c r="D1" s="37" t="inlineStr">
        <is>
          <t>SenderEmail</t>
        </is>
      </c>
      <c r="E1" s="37" t="inlineStr">
        <is>
          <t>Subject</t>
        </is>
      </c>
      <c r="F1" s="37" t="inlineStr">
        <is>
          <t>Category</t>
        </is>
      </c>
      <c r="G1" s="37" t="inlineStr">
        <is>
          <t>MatchedCustomerID</t>
        </is>
      </c>
      <c r="H1" s="37" t="inlineStr">
        <is>
          <t>MatchedJobID</t>
        </is>
      </c>
      <c r="I1" s="37" t="inlineStr">
        <is>
          <t>ExtractedPostcode</t>
        </is>
      </c>
      <c r="J1" s="37" t="inlineStr">
        <is>
          <t>ExtractedPhone</t>
        </is>
      </c>
      <c r="K1" s="37" t="inlineStr">
        <is>
          <t>ExtractedContainer</t>
        </is>
      </c>
      <c r="L1" s="37" t="inlineStr">
        <is>
          <t>ExtractedDate</t>
        </is>
      </c>
      <c r="M1" s="37" t="inlineStr">
        <is>
          <t>AttachmentCount</t>
        </is>
      </c>
      <c r="N1" s="37" t="inlineStr">
        <is>
          <t>AttachmentFolder</t>
        </is>
      </c>
      <c r="O1" s="37" t="inlineStr">
        <is>
          <t>OutlookEntryID</t>
        </is>
      </c>
      <c r="P1" s="37" t="inlineStr">
        <is>
          <t>Processed</t>
        </is>
      </c>
      <c r="Q1" s="37" t="inlineStr">
        <is>
          <t>ProcessedOn</t>
        </is>
      </c>
      <c r="R1" s="37" t="inlineStr">
        <is>
          <t>ActionTaken</t>
        </is>
      </c>
      <c r="S1" s="37" t="inlineStr">
        <is>
          <t>BodyExtract</t>
        </is>
      </c>
    </row>
    <row r="2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7" t="inlineStr">
        <is>
          <t>IssueID</t>
        </is>
      </c>
      <c r="B1" s="37" t="inlineStr">
        <is>
          <t>GeneratedOn</t>
        </is>
      </c>
      <c r="C1" s="37" t="inlineStr">
        <is>
          <t>TemplateName</t>
        </is>
      </c>
      <c r="D1" s="37" t="inlineStr">
        <is>
          <t>DocType</t>
        </is>
      </c>
      <c r="E1" s="37" t="inlineStr">
        <is>
          <t>JobID</t>
        </is>
      </c>
      <c r="F1" s="37" t="inlineStr">
        <is>
          <t>CustomerID</t>
        </is>
      </c>
      <c r="G1" s="37" t="inlineStr">
        <is>
          <t>FilePath</t>
        </is>
      </c>
      <c r="H1" s="37" t="inlineStr">
        <is>
          <t>GeneratedBy</t>
        </is>
      </c>
    </row>
    <row r="2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7" t="inlineStr">
        <is>
          <t>DocID</t>
        </is>
      </c>
      <c r="B1" s="37" t="inlineStr">
        <is>
          <t>DocTitle</t>
        </is>
      </c>
      <c r="C1" s="37" t="inlineStr">
        <is>
          <t>DocType</t>
        </is>
      </c>
      <c r="D1" s="37" t="inlineStr">
        <is>
          <t>Standard</t>
        </is>
      </c>
      <c r="E1" s="37" t="inlineStr">
        <is>
          <t>ISOClause</t>
        </is>
      </c>
      <c r="F1" s="37" t="inlineStr">
        <is>
          <t>Owner</t>
        </is>
      </c>
      <c r="G1" s="37" t="inlineStr">
        <is>
          <t>Revision</t>
        </is>
      </c>
      <c r="H1" s="37" t="inlineStr">
        <is>
          <t>IssueDate</t>
        </is>
      </c>
      <c r="I1" s="37" t="inlineStr">
        <is>
          <t>ReviewMonths</t>
        </is>
      </c>
      <c r="J1" s="37" t="inlineStr">
        <is>
          <t>ReviewDue</t>
        </is>
      </c>
      <c r="K1" s="37" t="inlineStr">
        <is>
          <t>Status</t>
        </is>
      </c>
      <c r="L1" s="37" t="inlineStr">
        <is>
          <t>Location</t>
        </is>
      </c>
      <c r="M1" s="37" t="inlineStr">
        <is>
          <t>SupersededBy</t>
        </is>
      </c>
      <c r="N1" s="37" t="inlineStr">
        <is>
          <t>Notes</t>
        </is>
      </c>
    </row>
    <row r="2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37" t="inlineStr">
        <is>
          <t>NCRID</t>
        </is>
      </c>
      <c r="B1" s="37" t="inlineStr">
        <is>
          <t>RaisedOn</t>
        </is>
      </c>
      <c r="C1" s="37" t="inlineStr">
        <is>
          <t>RaisedBy</t>
        </is>
      </c>
      <c r="D1" s="37" t="inlineStr">
        <is>
          <t>Source</t>
        </is>
      </c>
      <c r="E1" s="37" t="inlineStr">
        <is>
          <t>Type</t>
        </is>
      </c>
      <c r="F1" s="37" t="inlineStr">
        <is>
          <t>Severity</t>
        </is>
      </c>
      <c r="G1" s="37" t="inlineStr">
        <is>
          <t>Description</t>
        </is>
      </c>
      <c r="H1" s="37" t="inlineStr">
        <is>
          <t>LinkedJobID</t>
        </is>
      </c>
      <c r="I1" s="37" t="inlineStr">
        <is>
          <t>LinkedCustomerID</t>
        </is>
      </c>
      <c r="J1" s="37" t="inlineStr">
        <is>
          <t>ImmediateCorrection</t>
        </is>
      </c>
      <c r="K1" s="37" t="inlineStr">
        <is>
          <t>RootCause</t>
        </is>
      </c>
      <c r="L1" s="37" t="inlineStr">
        <is>
          <t>CorrectiveAction</t>
        </is>
      </c>
      <c r="M1" s="37" t="inlineStr">
        <is>
          <t>ActionOwner</t>
        </is>
      </c>
      <c r="N1" s="37" t="inlineStr">
        <is>
          <t>DueDate</t>
        </is>
      </c>
      <c r="O1" s="37" t="inlineStr">
        <is>
          <t>ClosedOn</t>
        </is>
      </c>
      <c r="P1" s="37" t="inlineStr">
        <is>
          <t>EffectivenessCheck</t>
        </is>
      </c>
      <c r="Q1" s="37" t="inlineStr">
        <is>
          <t>Status</t>
        </is>
      </c>
      <c r="R1" s="37" t="inlineStr">
        <is>
          <t>DaysOpen</t>
        </is>
      </c>
      <c r="S1" s="37" t="inlineStr">
        <is>
          <t>Overdue</t>
        </is>
      </c>
    </row>
    <row r="2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7" t="inlineStr">
        <is>
          <t>AuditID</t>
        </is>
      </c>
      <c r="B1" s="37" t="inlineStr">
        <is>
          <t>AuditType</t>
        </is>
      </c>
      <c r="C1" s="37" t="inlineStr">
        <is>
          <t>Standard</t>
        </is>
      </c>
      <c r="D1" s="37" t="inlineStr">
        <is>
          <t>Scope</t>
        </is>
      </c>
      <c r="E1" s="37" t="inlineStr">
        <is>
          <t>PlannedDate</t>
        </is>
      </c>
      <c r="F1" s="37" t="inlineStr">
        <is>
          <t>ActualDate</t>
        </is>
      </c>
      <c r="G1" s="37" t="inlineStr">
        <is>
          <t>Auditor</t>
        </is>
      </c>
      <c r="H1" s="37" t="inlineStr">
        <is>
          <t>Auditee</t>
        </is>
      </c>
      <c r="I1" s="37" t="inlineStr">
        <is>
          <t>FindingsMajor</t>
        </is>
      </c>
      <c r="J1" s="37" t="inlineStr">
        <is>
          <t>FindingsMinor</t>
        </is>
      </c>
      <c r="K1" s="37" t="inlineStr">
        <is>
          <t>Observations</t>
        </is>
      </c>
      <c r="L1" s="37" t="inlineStr">
        <is>
          <t>ReportPath</t>
        </is>
      </c>
      <c r="M1" s="37" t="inlineStr">
        <is>
          <t>Status</t>
        </is>
      </c>
    </row>
    <row r="2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7" t="inlineStr">
        <is>
          <t>TrainingID</t>
        </is>
      </c>
      <c r="B1" s="37" t="inlineStr">
        <is>
          <t>StaffID</t>
        </is>
      </c>
      <c r="C1" s="37" t="inlineStr">
        <is>
          <t>StaffName</t>
        </is>
      </c>
      <c r="D1" s="37" t="inlineStr">
        <is>
          <t>Course</t>
        </is>
      </c>
      <c r="E1" s="37" t="inlineStr">
        <is>
          <t>Provider</t>
        </is>
      </c>
      <c r="F1" s="37" t="inlineStr">
        <is>
          <t>CompletedOn</t>
        </is>
      </c>
      <c r="G1" s="37" t="inlineStr">
        <is>
          <t>ValidMonths</t>
        </is>
      </c>
      <c r="H1" s="37" t="inlineStr">
        <is>
          <t>ExpiresOn</t>
        </is>
      </c>
      <c r="I1" s="37" t="inlineStr">
        <is>
          <t>CertificatePath</t>
        </is>
      </c>
      <c r="J1" s="37" t="inlineStr">
        <is>
          <t>Cost</t>
        </is>
      </c>
      <c r="K1" s="37" t="inlineStr">
        <is>
          <t>Role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7" t="inlineStr">
        <is>
          <t>ReqID</t>
        </is>
      </c>
      <c r="B1" s="37" t="inlineStr">
        <is>
          <t>Role</t>
        </is>
      </c>
      <c r="C1" s="37" t="inlineStr">
        <is>
          <t>Course</t>
        </is>
      </c>
      <c r="D1" s="37" t="inlineStr">
        <is>
          <t>Mandatory</t>
        </is>
      </c>
      <c r="E1" s="37" t="inlineStr">
        <is>
          <t>RefreshMonths</t>
        </is>
      </c>
      <c r="F1" s="37" t="inlineStr">
        <is>
          <t>Notes</t>
        </is>
      </c>
    </row>
    <row r="2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7" t="inlineStr">
        <is>
          <t>EquipmentID</t>
        </is>
      </c>
      <c r="B1" s="37" t="inlineStr">
        <is>
          <t>Description</t>
        </is>
      </c>
      <c r="C1" s="37" t="inlineStr">
        <is>
          <t>Location</t>
        </is>
      </c>
      <c r="D1" s="37" t="inlineStr">
        <is>
          <t>SerialNo</t>
        </is>
      </c>
      <c r="E1" s="37" t="inlineStr">
        <is>
          <t>Provider</t>
        </is>
      </c>
      <c r="F1" s="37" t="inlineStr">
        <is>
          <t>LastCalibration</t>
        </is>
      </c>
      <c r="G1" s="37" t="inlineStr">
        <is>
          <t>FrequencyMonths</t>
        </is>
      </c>
      <c r="H1" s="37" t="inlineStr">
        <is>
          <t>NextDue</t>
        </is>
      </c>
      <c r="I1" s="37" t="inlineStr">
        <is>
          <t>CertificatePath</t>
        </is>
      </c>
      <c r="J1" s="37" t="inlineStr">
        <is>
          <t>Status</t>
        </is>
      </c>
    </row>
    <row r="2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7" t="inlineStr">
        <is>
          <t>PermitID</t>
        </is>
      </c>
      <c r="B1" s="37" t="inlineStr">
        <is>
          <t>PermitType</t>
        </is>
      </c>
      <c r="C1" s="37" t="inlineStr">
        <is>
          <t>Reference</t>
        </is>
      </c>
      <c r="D1" s="37" t="inlineStr">
        <is>
          <t>Holder</t>
        </is>
      </c>
      <c r="E1" s="37" t="inlineStr">
        <is>
          <t>IssuingBody</t>
        </is>
      </c>
      <c r="F1" s="37" t="inlineStr">
        <is>
          <t>IssueDate</t>
        </is>
      </c>
      <c r="G1" s="37" t="inlineStr">
        <is>
          <t>ExpiryDate</t>
        </is>
      </c>
      <c r="H1" s="37" t="inlineStr">
        <is>
          <t>RenewalLeadDays</t>
        </is>
      </c>
      <c r="I1" s="37" t="inlineStr">
        <is>
          <t>AnnualCost</t>
        </is>
      </c>
      <c r="J1" s="37" t="inlineStr">
        <is>
          <t>DocumentPath</t>
        </is>
      </c>
      <c r="K1" s="37" t="inlineStr">
        <is>
          <t>Status</t>
        </is>
      </c>
      <c r="L1" s="37" t="inlineStr">
        <is>
          <t>Notes</t>
        </is>
      </c>
    </row>
    <row r="2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37" t="inlineStr">
        <is>
          <t>IncidentID</t>
        </is>
      </c>
      <c r="B1" s="37" t="inlineStr">
        <is>
          <t>IncidentDateTime</t>
        </is>
      </c>
      <c r="C1" s="37" t="inlineStr">
        <is>
          <t>Type</t>
        </is>
      </c>
      <c r="D1" s="37" t="inlineStr">
        <is>
          <t>Location</t>
        </is>
      </c>
      <c r="E1" s="37" t="inlineStr">
        <is>
          <t>PersonInvolved</t>
        </is>
      </c>
      <c r="F1" s="37" t="inlineStr">
        <is>
          <t>Description</t>
        </is>
      </c>
      <c r="G1" s="37" t="inlineStr">
        <is>
          <t>RIDDORReportable</t>
        </is>
      </c>
      <c r="H1" s="37" t="inlineStr">
        <is>
          <t>RIDDORRef</t>
        </is>
      </c>
      <c r="I1" s="37" t="inlineStr">
        <is>
          <t>ReportedOn</t>
        </is>
      </c>
      <c r="J1" s="37" t="inlineStr">
        <is>
          <t>LostTimeDays</t>
        </is>
      </c>
      <c r="K1" s="37" t="inlineStr">
        <is>
          <t>ImmediateAction</t>
        </is>
      </c>
      <c r="L1" s="37" t="inlineStr">
        <is>
          <t>RootCause</t>
        </is>
      </c>
      <c r="M1" s="37" t="inlineStr">
        <is>
          <t>ActionsTaken</t>
        </is>
      </c>
      <c r="N1" s="37" t="inlineStr">
        <is>
          <t>LinkedNCRID</t>
        </is>
      </c>
      <c r="O1" s="37" t="inlineStr">
        <is>
          <t>ClosedOn</t>
        </is>
      </c>
      <c r="P1" s="37" t="inlineStr">
        <is>
          <t>Status</t>
        </is>
      </c>
    </row>
    <row r="2"/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7" t="inlineStr">
        <is>
          <t>RegID</t>
        </is>
      </c>
      <c r="B1" s="37" t="inlineStr">
        <is>
          <t>Legislation</t>
        </is>
      </c>
      <c r="C1" s="37" t="inlineStr">
        <is>
          <t>Applicability</t>
        </is>
      </c>
      <c r="D1" s="37" t="inlineStr">
        <is>
          <t>Requirement</t>
        </is>
      </c>
      <c r="E1" s="37" t="inlineStr">
        <is>
          <t>HowWeComply</t>
        </is>
      </c>
      <c r="F1" s="37" t="inlineStr">
        <is>
          <t>Evidence</t>
        </is>
      </c>
      <c r="G1" s="37" t="inlineStr">
        <is>
          <t>Owner</t>
        </is>
      </c>
      <c r="H1" s="37" t="inlineStr">
        <is>
          <t>LastReviewed</t>
        </is>
      </c>
      <c r="I1" s="37" t="inlineStr">
        <is>
          <t>ReviewMonths</t>
        </is>
      </c>
      <c r="J1" s="37" t="inlineStr">
        <is>
          <t>NextReview</t>
        </is>
      </c>
      <c r="K1" s="37" t="inlineStr">
        <is>
          <t>ComplianceStatus</t>
        </is>
      </c>
    </row>
    <row r="2"/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7" t="inlineStr">
        <is>
          <t>ObjID</t>
        </is>
      </c>
      <c r="B1" s="37" t="inlineStr">
        <is>
          <t>Standard</t>
        </is>
      </c>
      <c r="C1" s="37" t="inlineStr">
        <is>
          <t>Objective</t>
        </is>
      </c>
      <c r="D1" s="37" t="inlineStr">
        <is>
          <t>KPI</t>
        </is>
      </c>
      <c r="E1" s="37" t="inlineStr">
        <is>
          <t>Baseline</t>
        </is>
      </c>
      <c r="F1" s="37" t="inlineStr">
        <is>
          <t>Target</t>
        </is>
      </c>
      <c r="G1" s="37" t="inlineStr">
        <is>
          <t>CurrentValue</t>
        </is>
      </c>
      <c r="H1" s="37" t="inlineStr">
        <is>
          <t>Progress</t>
        </is>
      </c>
      <c r="I1" s="37" t="inlineStr">
        <is>
          <t>TargetDate</t>
        </is>
      </c>
      <c r="J1" s="37" t="inlineStr">
        <is>
          <t>Owner</t>
        </is>
      </c>
      <c r="K1" s="37" t="inlineStr">
        <is>
          <t>Status</t>
        </is>
      </c>
      <c r="L1" s="37" t="inlineStr">
        <is>
          <t>ReviewNotes</t>
        </is>
      </c>
    </row>
    <row r="2"/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7" t="inlineStr">
        <is>
          <t>RiskID</t>
        </is>
      </c>
      <c r="B1" s="37" t="inlineStr">
        <is>
          <t>Type</t>
        </is>
      </c>
      <c r="C1" s="37" t="inlineStr">
        <is>
          <t>Category</t>
        </is>
      </c>
      <c r="D1" s="37" t="inlineStr">
        <is>
          <t>Description</t>
        </is>
      </c>
      <c r="E1" s="37" t="inlineStr">
        <is>
          <t>Likelihood</t>
        </is>
      </c>
      <c r="F1" s="37" t="inlineStr">
        <is>
          <t>Impact</t>
        </is>
      </c>
      <c r="G1" s="37" t="inlineStr">
        <is>
          <t>GrossScore</t>
        </is>
      </c>
      <c r="H1" s="37" t="inlineStr">
        <is>
          <t>Controls</t>
        </is>
      </c>
      <c r="I1" s="37" t="inlineStr">
        <is>
          <t>ResLikelihood</t>
        </is>
      </c>
      <c r="J1" s="37" t="inlineStr">
        <is>
          <t>ResImpact</t>
        </is>
      </c>
      <c r="K1" s="37" t="inlineStr">
        <is>
          <t>NetScore</t>
        </is>
      </c>
      <c r="L1" s="37" t="inlineStr">
        <is>
          <t>Owner</t>
        </is>
      </c>
      <c r="M1" s="37" t="inlineStr">
        <is>
          <t>ReviewDate</t>
        </is>
      </c>
      <c r="N1" s="37" t="inlineStr">
        <is>
          <t>Status</t>
        </is>
      </c>
    </row>
    <row r="2"/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7" t="inlineStr">
        <is>
          <t>MRID</t>
        </is>
      </c>
      <c r="B1" s="37" t="inlineStr">
        <is>
          <t>ReviewDate</t>
        </is>
      </c>
      <c r="C1" s="37" t="inlineStr">
        <is>
          <t>Chair</t>
        </is>
      </c>
      <c r="D1" s="37" t="inlineStr">
        <is>
          <t>Attendees</t>
        </is>
      </c>
      <c r="E1" s="37" t="inlineStr">
        <is>
          <t>InputsCovered</t>
        </is>
      </c>
      <c r="F1" s="37" t="inlineStr">
        <is>
          <t>Decisions</t>
        </is>
      </c>
      <c r="G1" s="37" t="inlineStr">
        <is>
          <t>ActionsRaised</t>
        </is>
      </c>
      <c r="H1" s="37" t="inlineStr">
        <is>
          <t>MinutesPath</t>
        </is>
      </c>
      <c r="I1" s="37" t="inlineStr">
        <is>
          <t>NextReviewDue</t>
        </is>
      </c>
    </row>
    <row r="2"/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7" t="inlineStr">
        <is>
          <t>EvalID</t>
        </is>
      </c>
      <c r="B1" s="37" t="inlineStr">
        <is>
          <t>SupplierID</t>
        </is>
      </c>
      <c r="C1" s="37" t="inlineStr">
        <is>
          <t>SupplierName</t>
        </is>
      </c>
      <c r="D1" s="37" t="inlineStr">
        <is>
          <t>EvalDate</t>
        </is>
      </c>
      <c r="E1" s="37" t="inlineStr">
        <is>
          <t>ScoreQuality</t>
        </is>
      </c>
      <c r="F1" s="37" t="inlineStr">
        <is>
          <t>ScoreDelivery</t>
        </is>
      </c>
      <c r="G1" s="37" t="inlineStr">
        <is>
          <t>ScoreCompliance</t>
        </is>
      </c>
      <c r="H1" s="37" t="inlineStr">
        <is>
          <t>ScorePrice</t>
        </is>
      </c>
      <c r="I1" s="37" t="inlineStr">
        <is>
          <t>ScoreHSE</t>
        </is>
      </c>
      <c r="J1" s="37" t="inlineStr">
        <is>
          <t>TotalScore</t>
        </is>
      </c>
      <c r="K1" s="37" t="inlineStr">
        <is>
          <t>Outcome</t>
        </is>
      </c>
      <c r="L1" s="37" t="inlineStr">
        <is>
          <t>Reviewer</t>
        </is>
      </c>
      <c r="M1" s="37" t="inlineStr">
        <is>
          <t>Comments</t>
        </is>
      </c>
      <c r="N1" s="37" t="inlineStr">
        <is>
          <t>NextEvalDue</t>
        </is>
      </c>
    </row>
    <row r="2"/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4:A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4">
      <c r="A4" s="38" t="inlineStr">
        <is>
          <t>ApprovalStatus</t>
        </is>
      </c>
      <c r="B4" s="38" t="inlineStr">
        <is>
          <t>AssetStatus</t>
        </is>
      </c>
      <c r="C4" s="38" t="inlineStr">
        <is>
          <t>AuditType</t>
        </is>
      </c>
      <c r="D4" s="38" t="inlineStr">
        <is>
          <t>Compliance</t>
        </is>
      </c>
      <c r="E4" s="38" t="inlineStr">
        <is>
          <t>ContainerType</t>
        </is>
      </c>
      <c r="F4" s="38" t="inlineStr">
        <is>
          <t>CustomerType</t>
        </is>
      </c>
      <c r="G4" s="38" t="inlineStr">
        <is>
          <t>Direction</t>
        </is>
      </c>
      <c r="H4" s="38" t="inlineStr">
        <is>
          <t>DocStatus</t>
        </is>
      </c>
      <c r="I4" s="38" t="inlineStr">
        <is>
          <t>DocType</t>
        </is>
      </c>
      <c r="J4" s="38" t="inlineStr">
        <is>
          <t>EmailCategory</t>
        </is>
      </c>
      <c r="K4" s="38" t="inlineStr">
        <is>
          <t>IncidentType</t>
        </is>
      </c>
      <c r="L4" s="38" t="inlineStr">
        <is>
          <t>InvoiceStatus</t>
        </is>
      </c>
      <c r="M4" s="38" t="inlineStr">
        <is>
          <t>JobStatus</t>
        </is>
      </c>
      <c r="N4" s="38" t="inlineStr">
        <is>
          <t>LikertScore</t>
        </is>
      </c>
      <c r="O4" s="38" t="inlineStr">
        <is>
          <t>MovementType</t>
        </is>
      </c>
      <c r="P4" s="38" t="inlineStr">
        <is>
          <t>NCRSource</t>
        </is>
      </c>
      <c r="Q4" s="38" t="inlineStr">
        <is>
          <t>NCRType</t>
        </is>
      </c>
      <c r="R4" s="38" t="inlineStr">
        <is>
          <t>OpenClosed</t>
        </is>
      </c>
      <c r="S4" s="38" t="inlineStr">
        <is>
          <t>OutletType</t>
        </is>
      </c>
      <c r="T4" s="38" t="inlineStr">
        <is>
          <t>PaymentTerms</t>
        </is>
      </c>
      <c r="U4" s="38" t="inlineStr">
        <is>
          <t>PermitType</t>
        </is>
      </c>
      <c r="V4" s="38" t="inlineStr">
        <is>
          <t>RecordStatus</t>
        </is>
      </c>
      <c r="W4" s="38" t="inlineStr">
        <is>
          <t>RecoveryRoute</t>
        </is>
      </c>
      <c r="X4" s="38" t="inlineStr">
        <is>
          <t>RiskType</t>
        </is>
      </c>
      <c r="Y4" s="38" t="inlineStr">
        <is>
          <t>ServiceType</t>
        </is>
      </c>
      <c r="Z4" s="38" t="inlineStr">
        <is>
          <t>Severity</t>
        </is>
      </c>
      <c r="AA4" s="38" t="inlineStr">
        <is>
          <t>Standard</t>
        </is>
      </c>
      <c r="AB4" s="38" t="inlineStr">
        <is>
          <t>StreamGroup</t>
        </is>
      </c>
      <c r="AC4" s="38" t="inlineStr">
        <is>
          <t>UOM</t>
        </is>
      </c>
      <c r="AD4" s="38" t="inlineStr">
        <is>
          <t>WTNDocType</t>
        </is>
      </c>
      <c r="AE4" s="38" t="inlineStr">
        <is>
          <t>YesNo</t>
        </is>
      </c>
    </row>
    <row r="5">
      <c r="A5" s="6" t="inlineStr">
        <is>
          <t>Approved</t>
        </is>
      </c>
      <c r="B5" s="6" t="inlineStr">
        <is>
          <t>Available</t>
        </is>
      </c>
      <c r="C5" s="6" t="inlineStr">
        <is>
          <t>Internal</t>
        </is>
      </c>
      <c r="D5" s="6" t="inlineStr">
        <is>
          <t>Compliant</t>
        </is>
      </c>
      <c r="E5" s="6" t="inlineStr">
        <is>
          <t>2yd Skip</t>
        </is>
      </c>
      <c r="F5" s="6" t="inlineStr">
        <is>
          <t>Trade</t>
        </is>
      </c>
      <c r="G5" s="6" t="inlineStr">
        <is>
          <t>In</t>
        </is>
      </c>
      <c r="H5" s="6" t="inlineStr">
        <is>
          <t>Draft</t>
        </is>
      </c>
      <c r="I5" s="6" t="inlineStr">
        <is>
          <t>Policy</t>
        </is>
      </c>
      <c r="J5" s="6" t="inlineStr">
        <is>
          <t>Booking</t>
        </is>
      </c>
      <c r="K5" s="6" t="inlineStr">
        <is>
          <t>Injury</t>
        </is>
      </c>
      <c r="L5" s="6" t="inlineStr">
        <is>
          <t>Draft</t>
        </is>
      </c>
      <c r="M5" s="6" t="inlineStr">
        <is>
          <t>Enquiry</t>
        </is>
      </c>
      <c r="N5" s="6" t="inlineStr">
        <is>
          <t>1</t>
        </is>
      </c>
      <c r="O5" s="6" t="inlineStr">
        <is>
          <t>Delivered</t>
        </is>
      </c>
      <c r="P5" s="6" t="inlineStr">
        <is>
          <t>Internal Audit</t>
        </is>
      </c>
      <c r="Q5" s="6" t="inlineStr">
        <is>
          <t>Quality</t>
        </is>
      </c>
      <c r="R5" s="6" t="inlineStr">
        <is>
          <t>Open</t>
        </is>
      </c>
      <c r="S5" s="6" t="inlineStr">
        <is>
          <t>Materials Recovery Facility</t>
        </is>
      </c>
      <c r="T5" s="6" t="inlineStr">
        <is>
          <t>Pro Forma</t>
        </is>
      </c>
      <c r="U5" s="6" t="inlineStr">
        <is>
          <t>Environmental Permit</t>
        </is>
      </c>
      <c r="V5" s="6" t="inlineStr">
        <is>
          <t>Active</t>
        </is>
      </c>
      <c r="W5" s="6" t="inlineStr">
        <is>
          <t>Recycling</t>
        </is>
      </c>
      <c r="X5" s="6" t="inlineStr">
        <is>
          <t>Risk</t>
        </is>
      </c>
      <c r="Y5" s="6" t="inlineStr">
        <is>
          <t>Delivery</t>
        </is>
      </c>
      <c r="Z5" s="6" t="inlineStr">
        <is>
          <t>Major</t>
        </is>
      </c>
      <c r="AA5" s="6" t="inlineStr">
        <is>
          <t>ISO 9001</t>
        </is>
      </c>
      <c r="AB5" s="6" t="inlineStr">
        <is>
          <t>Mixed C&amp;D</t>
        </is>
      </c>
      <c r="AC5" s="6" t="inlineStr">
        <is>
          <t>Job</t>
        </is>
      </c>
      <c r="AD5" s="6" t="inlineStr">
        <is>
          <t>Waste Transfer Note</t>
        </is>
      </c>
      <c r="AE5" s="6" t="inlineStr">
        <is>
          <t>Yes</t>
        </is>
      </c>
    </row>
    <row r="6">
      <c r="A6" s="6" t="inlineStr">
        <is>
          <t>Provisional</t>
        </is>
      </c>
      <c r="B6" s="6" t="inlineStr">
        <is>
          <t>On Hire</t>
        </is>
      </c>
      <c r="C6" s="6" t="inlineStr">
        <is>
          <t>Certification</t>
        </is>
      </c>
      <c r="D6" s="6" t="inlineStr">
        <is>
          <t>Partially Compliant</t>
        </is>
      </c>
      <c r="E6" s="6" t="inlineStr">
        <is>
          <t>4yd Skip</t>
        </is>
      </c>
      <c r="F6" s="6" t="inlineStr">
        <is>
          <t>Domestic</t>
        </is>
      </c>
      <c r="G6" s="6" t="inlineStr">
        <is>
          <t>Out</t>
        </is>
      </c>
      <c r="H6" s="6" t="inlineStr">
        <is>
          <t>In Review</t>
        </is>
      </c>
      <c r="I6" s="6" t="inlineStr">
        <is>
          <t>Manual</t>
        </is>
      </c>
      <c r="J6" s="6" t="inlineStr">
        <is>
          <t>Enquiry</t>
        </is>
      </c>
      <c r="K6" s="6" t="inlineStr">
        <is>
          <t>Near Miss</t>
        </is>
      </c>
      <c r="L6" s="6" t="inlineStr">
        <is>
          <t>Approved</t>
        </is>
      </c>
      <c r="M6" s="6" t="inlineStr">
        <is>
          <t>Quoted</t>
        </is>
      </c>
      <c r="N6" s="6" t="inlineStr">
        <is>
          <t>2</t>
        </is>
      </c>
      <c r="O6" s="6" t="inlineStr">
        <is>
          <t>Exchanged Out</t>
        </is>
      </c>
      <c r="P6" s="6" t="inlineStr">
        <is>
          <t>External Audit</t>
        </is>
      </c>
      <c r="Q6" s="6" t="inlineStr">
        <is>
          <t>Environmental</t>
        </is>
      </c>
      <c r="R6" s="6" t="inlineStr">
        <is>
          <t>In Progress</t>
        </is>
      </c>
      <c r="S6" s="6" t="inlineStr">
        <is>
          <t>Transfer Station</t>
        </is>
      </c>
      <c r="T6" s="6" t="inlineStr">
        <is>
          <t>Card on Booking</t>
        </is>
      </c>
      <c r="U6" s="6" t="inlineStr">
        <is>
          <t>Waste Carrier Licence</t>
        </is>
      </c>
      <c r="V6" s="6" t="inlineStr">
        <is>
          <t>Inactive</t>
        </is>
      </c>
      <c r="W6" s="6" t="inlineStr">
        <is>
          <t>Reuse</t>
        </is>
      </c>
      <c r="X6" s="6" t="inlineStr">
        <is>
          <t>Opportunity</t>
        </is>
      </c>
      <c r="Y6" s="6" t="inlineStr">
        <is>
          <t>Exchange</t>
        </is>
      </c>
      <c r="Z6" s="6" t="inlineStr">
        <is>
          <t>Minor</t>
        </is>
      </c>
      <c r="AA6" s="6" t="inlineStr">
        <is>
          <t>ISO 14001</t>
        </is>
      </c>
      <c r="AB6" s="6" t="inlineStr">
        <is>
          <t>Inert</t>
        </is>
      </c>
      <c r="AC6" s="6" t="inlineStr">
        <is>
          <t>Tonne</t>
        </is>
      </c>
      <c r="AD6" s="6" t="inlineStr">
        <is>
          <t>Season Ticket (Annual WTN)</t>
        </is>
      </c>
      <c r="AE6" s="6" t="inlineStr">
        <is>
          <t>No</t>
        </is>
      </c>
    </row>
    <row r="7">
      <c r="A7" s="6" t="inlineStr">
        <is>
          <t>Under Review</t>
        </is>
      </c>
      <c r="B7" s="6" t="inlineStr">
        <is>
          <t>In Transit</t>
        </is>
      </c>
      <c r="C7" s="6" t="inlineStr">
        <is>
          <t>Surveillance</t>
        </is>
      </c>
      <c r="D7" s="6" t="inlineStr">
        <is>
          <t>Non-Compliant</t>
        </is>
      </c>
      <c r="E7" s="6" t="inlineStr">
        <is>
          <t>6yd Skip</t>
        </is>
      </c>
      <c r="F7" s="6" t="inlineStr">
        <is>
          <t>Local Authority</t>
        </is>
      </c>
      <c r="H7" s="6" t="inlineStr">
        <is>
          <t>Issued</t>
        </is>
      </c>
      <c r="I7" s="6" t="inlineStr">
        <is>
          <t>Procedure</t>
        </is>
      </c>
      <c r="J7" s="6" t="inlineStr">
        <is>
          <t>Quote Request</t>
        </is>
      </c>
      <c r="K7" s="6" t="inlineStr">
        <is>
          <t>Environmental</t>
        </is>
      </c>
      <c r="L7" s="6" t="inlineStr">
        <is>
          <t>Exported</t>
        </is>
      </c>
      <c r="M7" s="6" t="inlineStr">
        <is>
          <t>Booked</t>
        </is>
      </c>
      <c r="N7" s="6" t="inlineStr">
        <is>
          <t>3</t>
        </is>
      </c>
      <c r="O7" s="6" t="inlineStr">
        <is>
          <t>Exchanged In</t>
        </is>
      </c>
      <c r="P7" s="6" t="inlineStr">
        <is>
          <t>Customer Complaint</t>
        </is>
      </c>
      <c r="Q7" s="6" t="inlineStr">
        <is>
          <t>Health &amp; Safety</t>
        </is>
      </c>
      <c r="R7" s="6" t="inlineStr">
        <is>
          <t>Awaiting Verification</t>
        </is>
      </c>
      <c r="S7" s="6" t="inlineStr">
        <is>
          <t>Reprocessor</t>
        </is>
      </c>
      <c r="T7" s="6" t="inlineStr">
        <is>
          <t>7 Days</t>
        </is>
      </c>
      <c r="U7" s="6" t="inlineStr">
        <is>
          <t>Waste Broker Registration</t>
        </is>
      </c>
      <c r="V7" s="6" t="inlineStr">
        <is>
          <t>Archived</t>
        </is>
      </c>
      <c r="W7" s="6" t="inlineStr">
        <is>
          <t>Recovery (Energy)</t>
        </is>
      </c>
      <c r="Y7" s="6" t="inlineStr">
        <is>
          <t>Collection</t>
        </is>
      </c>
      <c r="Z7" s="6" t="inlineStr">
        <is>
          <t>Observation</t>
        </is>
      </c>
      <c r="AA7" s="6" t="inlineStr">
        <is>
          <t>ISO 45001</t>
        </is>
      </c>
      <c r="AB7" s="6" t="inlineStr">
        <is>
          <t>Soil</t>
        </is>
      </c>
      <c r="AC7" s="6" t="inlineStr">
        <is>
          <t>Day</t>
        </is>
      </c>
      <c r="AD7" s="6" t="inlineStr">
        <is>
          <t>Hazardous Consignment Note</t>
        </is>
      </c>
    </row>
    <row r="8">
      <c r="A8" s="6" t="inlineStr">
        <is>
          <t>Suspended</t>
        </is>
      </c>
      <c r="B8" s="6" t="inlineStr">
        <is>
          <t>Maintenance</t>
        </is>
      </c>
      <c r="C8" s="6" t="inlineStr">
        <is>
          <t>Regulator</t>
        </is>
      </c>
      <c r="D8" s="6" t="inlineStr">
        <is>
          <t>Not Applicable</t>
        </is>
      </c>
      <c r="E8" s="6" t="inlineStr">
        <is>
          <t>8yd Skip</t>
        </is>
      </c>
      <c r="F8" s="6" t="inlineStr">
        <is>
          <t>Main Contractor</t>
        </is>
      </c>
      <c r="H8" s="6" t="inlineStr">
        <is>
          <t>Superseded</t>
        </is>
      </c>
      <c r="I8" s="6" t="inlineStr">
        <is>
          <t>Work Instruction</t>
        </is>
      </c>
      <c r="J8" s="6" t="inlineStr">
        <is>
          <t>Weighbridge Ticket</t>
        </is>
      </c>
      <c r="K8" s="6" t="inlineStr">
        <is>
          <t>Spill</t>
        </is>
      </c>
      <c r="L8" s="6" t="inlineStr">
        <is>
          <t>Invoiced</t>
        </is>
      </c>
      <c r="M8" s="6" t="inlineStr">
        <is>
          <t>Allocated</t>
        </is>
      </c>
      <c r="N8" s="6" t="inlineStr">
        <is>
          <t>4</t>
        </is>
      </c>
      <c r="O8" s="6" t="inlineStr">
        <is>
          <t>Collected</t>
        </is>
      </c>
      <c r="P8" s="6" t="inlineStr">
        <is>
          <t>Driver Report</t>
        </is>
      </c>
      <c r="Q8" s="6" t="inlineStr">
        <is>
          <t>Compliance</t>
        </is>
      </c>
      <c r="R8" s="6" t="inlineStr">
        <is>
          <t>Closed</t>
        </is>
      </c>
      <c r="S8" s="6" t="inlineStr">
        <is>
          <t>EfW</t>
        </is>
      </c>
      <c r="T8" s="6" t="inlineStr">
        <is>
          <t>14 Days</t>
        </is>
      </c>
      <c r="U8" s="6" t="inlineStr">
        <is>
          <t>Operator Licence</t>
        </is>
      </c>
      <c r="W8" s="6" t="inlineStr">
        <is>
          <t>Treatment</t>
        </is>
      </c>
      <c r="Y8" s="6" t="inlineStr">
        <is>
          <t>Wait and Load</t>
        </is>
      </c>
      <c r="AA8" s="6" t="inlineStr">
        <is>
          <t>Multiple</t>
        </is>
      </c>
      <c r="AB8" s="6" t="inlineStr">
        <is>
          <t>Wood</t>
        </is>
      </c>
      <c r="AC8" s="6" t="inlineStr">
        <is>
          <t>Load</t>
        </is>
      </c>
    </row>
    <row r="9">
      <c r="A9" s="6" t="inlineStr">
        <is>
          <t>Rejected</t>
        </is>
      </c>
      <c r="B9" s="6" t="inlineStr">
        <is>
          <t>Repair</t>
        </is>
      </c>
      <c r="C9" s="6" t="inlineStr">
        <is>
          <t>Customer</t>
        </is>
      </c>
      <c r="D9" s="6" t="inlineStr">
        <is>
          <t>Under Assessment</t>
        </is>
      </c>
      <c r="E9" s="6" t="inlineStr">
        <is>
          <t>12yd Skip</t>
        </is>
      </c>
      <c r="F9" s="6" t="inlineStr">
        <is>
          <t>Broker</t>
        </is>
      </c>
      <c r="H9" s="6" t="inlineStr">
        <is>
          <t>Withdrawn</t>
        </is>
      </c>
      <c r="I9" s="6" t="inlineStr">
        <is>
          <t>Form</t>
        </is>
      </c>
      <c r="J9" s="6" t="inlineStr">
        <is>
          <t>Invoice Query</t>
        </is>
      </c>
      <c r="K9" s="6" t="inlineStr">
        <is>
          <t>Fire</t>
        </is>
      </c>
      <c r="L9" s="6" t="inlineStr">
        <is>
          <t>Paid</t>
        </is>
      </c>
      <c r="M9" s="6" t="inlineStr">
        <is>
          <t>On Site</t>
        </is>
      </c>
      <c r="N9" s="6" t="inlineStr">
        <is>
          <t>5</t>
        </is>
      </c>
      <c r="O9" s="6" t="inlineStr">
        <is>
          <t>Returned to Yard</t>
        </is>
      </c>
      <c r="P9" s="6" t="inlineStr">
        <is>
          <t>Weighbridge</t>
        </is>
      </c>
      <c r="Q9" s="6" t="inlineStr">
        <is>
          <t>Commercial</t>
        </is>
      </c>
      <c r="R9" s="6" t="inlineStr">
        <is>
          <t>Cancelled</t>
        </is>
      </c>
      <c r="S9" s="6" t="inlineStr">
        <is>
          <t>Landfill</t>
        </is>
      </c>
      <c r="T9" s="6" t="inlineStr">
        <is>
          <t>30 Days</t>
        </is>
      </c>
      <c r="U9" s="6" t="inlineStr">
        <is>
          <t>Planning Consent</t>
        </is>
      </c>
      <c r="W9" s="6" t="inlineStr">
        <is>
          <t>Landfill</t>
        </is>
      </c>
      <c r="Y9" s="6" t="inlineStr">
        <is>
          <t>Tip and Return</t>
        </is>
      </c>
      <c r="AA9" s="6" t="inlineStr">
        <is>
          <t>Statutory</t>
        </is>
      </c>
      <c r="AB9" s="6" t="inlineStr">
        <is>
          <t>Metal</t>
        </is>
      </c>
      <c r="AC9" s="6" t="inlineStr">
        <is>
          <t>Item</t>
        </is>
      </c>
    </row>
    <row r="10">
      <c r="B10" s="6" t="inlineStr">
        <is>
          <t>Lost</t>
        </is>
      </c>
      <c r="C10" s="6" t="inlineStr">
        <is>
          <t>Supplier</t>
        </is>
      </c>
      <c r="E10" s="6" t="inlineStr">
        <is>
          <t>14yd Skip</t>
        </is>
      </c>
      <c r="F10" s="6" t="inlineStr">
        <is>
          <t>Internal</t>
        </is>
      </c>
      <c r="I10" s="6" t="inlineStr">
        <is>
          <t>Register</t>
        </is>
      </c>
      <c r="J10" s="6" t="inlineStr">
        <is>
          <t>Complaint</t>
        </is>
      </c>
      <c r="K10" s="6" t="inlineStr">
        <is>
          <t>Road Traffic Collision</t>
        </is>
      </c>
      <c r="L10" s="6" t="inlineStr">
        <is>
          <t>Credited</t>
        </is>
      </c>
      <c r="M10" s="6" t="inlineStr">
        <is>
          <t>Awaiting Collection</t>
        </is>
      </c>
      <c r="O10" s="6" t="inlineStr">
        <is>
          <t>Transferred</t>
        </is>
      </c>
      <c r="P10" s="6" t="inlineStr">
        <is>
          <t>Site Inspection</t>
        </is>
      </c>
      <c r="S10" s="6" t="inlineStr">
        <is>
          <t>Inert Recovery</t>
        </is>
      </c>
      <c r="T10" s="6" t="inlineStr">
        <is>
          <t>30 Days EOM</t>
        </is>
      </c>
      <c r="U10" s="6" t="inlineStr">
        <is>
          <t>Trade Effluent Consent</t>
        </is>
      </c>
      <c r="Y10" s="6" t="inlineStr">
        <is>
          <t>Muckaway</t>
        </is>
      </c>
      <c r="AA10" s="6" t="inlineStr">
        <is>
          <t>Internal</t>
        </is>
      </c>
      <c r="AB10" s="6" t="inlineStr">
        <is>
          <t>Plasterboard</t>
        </is>
      </c>
      <c r="AC10" s="6" t="inlineStr">
        <is>
          <t>Hour</t>
        </is>
      </c>
    </row>
    <row r="11">
      <c r="B11" s="6" t="inlineStr">
        <is>
          <t>Scrapped</t>
        </is>
      </c>
      <c r="E11" s="6" t="inlineStr">
        <is>
          <t>20yd RoRo</t>
        </is>
      </c>
      <c r="I11" s="6" t="inlineStr">
        <is>
          <t>Record</t>
        </is>
      </c>
      <c r="J11" s="6" t="inlineStr">
        <is>
          <t>Supplier</t>
        </is>
      </c>
      <c r="K11" s="6" t="inlineStr">
        <is>
          <t>Property Damage</t>
        </is>
      </c>
      <c r="L11" s="6" t="inlineStr">
        <is>
          <t>Disputed</t>
        </is>
      </c>
      <c r="M11" s="6" t="inlineStr">
        <is>
          <t>Completed</t>
        </is>
      </c>
      <c r="O11" s="6" t="inlineStr">
        <is>
          <t>Off Hire</t>
        </is>
      </c>
      <c r="P11" s="6" t="inlineStr">
        <is>
          <t>Supplier</t>
        </is>
      </c>
      <c r="S11" s="6" t="inlineStr">
        <is>
          <t>Composting</t>
        </is>
      </c>
      <c r="T11" s="6" t="inlineStr">
        <is>
          <t>60 Days</t>
        </is>
      </c>
      <c r="U11" s="6" t="inlineStr">
        <is>
          <t>Duty of Care Exemption</t>
        </is>
      </c>
      <c r="Y11" s="6" t="inlineStr">
        <is>
          <t>Aborted Visit</t>
        </is>
      </c>
      <c r="AB11" s="6" t="inlineStr">
        <is>
          <t>Green Waste</t>
        </is>
      </c>
      <c r="AC11" s="6" t="inlineStr">
        <is>
          <t>Mile</t>
        </is>
      </c>
    </row>
    <row r="12">
      <c r="E12" s="6" t="inlineStr">
        <is>
          <t>35yd RoRo</t>
        </is>
      </c>
      <c r="I12" s="6" t="inlineStr">
        <is>
          <t>Plan</t>
        </is>
      </c>
      <c r="J12" s="6" t="inlineStr">
        <is>
          <t>Compliance</t>
        </is>
      </c>
      <c r="K12" s="6" t="inlineStr">
        <is>
          <t>Dangerous Occurrence</t>
        </is>
      </c>
      <c r="M12" s="6" t="inlineStr">
        <is>
          <t>Invoiced</t>
        </is>
      </c>
      <c r="P12" s="6" t="inlineStr">
        <is>
          <t>Incident</t>
        </is>
      </c>
      <c r="S12" s="6" t="inlineStr">
        <is>
          <t>Metal Merchant</t>
        </is>
      </c>
      <c r="U12" s="6" t="inlineStr">
        <is>
          <t>Insurance</t>
        </is>
      </c>
      <c r="AB12" s="6" t="inlineStr">
        <is>
          <t>Mixed General</t>
        </is>
      </c>
    </row>
    <row r="13">
      <c r="E13" s="6" t="inlineStr">
        <is>
          <t>40yd RoRo</t>
        </is>
      </c>
      <c r="I13" s="6" t="inlineStr">
        <is>
          <t>External Document</t>
        </is>
      </c>
      <c r="J13" s="6" t="inlineStr">
        <is>
          <t>Internal</t>
        </is>
      </c>
      <c r="K13" s="6" t="inlineStr">
        <is>
          <t>Ill Health</t>
        </is>
      </c>
      <c r="M13" s="6" t="inlineStr">
        <is>
          <t>Cancelled</t>
        </is>
      </c>
      <c r="P13" s="6" t="inlineStr">
        <is>
          <t>Management Review</t>
        </is>
      </c>
      <c r="S13" s="6" t="inlineStr">
        <is>
          <t>Hazardous Facility</t>
        </is>
      </c>
      <c r="AB13" s="6" t="inlineStr">
        <is>
          <t>Cardboard</t>
        </is>
      </c>
    </row>
    <row r="14">
      <c r="E14" s="6" t="inlineStr">
        <is>
          <t>Front End Loader</t>
        </is>
      </c>
      <c r="J14" s="6" t="inlineStr">
        <is>
          <t>Spam</t>
        </is>
      </c>
      <c r="M14" s="6" t="inlineStr">
        <is>
          <t>Aborted</t>
        </is>
      </c>
      <c r="AB14" s="6" t="inlineStr">
        <is>
          <t>Plastics</t>
        </is>
      </c>
    </row>
    <row r="15">
      <c r="E15" s="6" t="inlineStr">
        <is>
          <t>Wheelie Bin 1100L</t>
        </is>
      </c>
      <c r="J15" s="6" t="inlineStr">
        <is>
          <t>Unclassified</t>
        </is>
      </c>
      <c r="AB15" s="6" t="inlineStr">
        <is>
          <t>WEEE</t>
        </is>
      </c>
    </row>
    <row r="16">
      <c r="AB16" s="6" t="inlineStr">
        <is>
          <t>Hazardous</t>
        </is>
      </c>
    </row>
    <row r="17">
      <c r="AB17" s="6" t="inlineStr">
        <is>
          <t>Fines/Residue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Acorn Ops platform build</dc:creator>
  <dc:title xmlns:dc="http://purl.org/dc/elements/1.1/">Acorn Recyclers - Operations Console</dc:title>
  <dc:description xmlns:dc="http://purl.org/dc/elements/1.1/">Front end for the Acorn Recyclers operations platform. Reads the three data workbooks in 01_Data into hidden caches and reports over them.</dc:description>
  <dcterms:created xmlns:dcterms="http://purl.org/dc/terms/" xmlns:xsi="http://www.w3.org/2001/XMLSchema-instance" xsi:type="dcterms:W3CDTF">2026-08-17T18:10:17Z</dcterms:created>
  <dcterms:modified xmlns:dcterms="http://purl.org/dc/terms/" xmlns:xsi="http://www.w3.org/2001/XMLSchema-instance" xsi:type="dcterms:W3CDTF">2026-08-17T18:10:17Z</dcterms:modified>
</cp:coreProperties>
</file>