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Guide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Movements" sheetId="3" state="visible" r:id="rId3"/>
    <sheet xmlns:r="http://schemas.openxmlformats.org/officeDocument/2006/relationships" name="WeighTickets" sheetId="4" state="visible" r:id="rId4"/>
    <sheet xmlns:r="http://schemas.openxmlformats.org/officeDocument/2006/relationships" name="TransferNotes" sheetId="5" state="visible" r:id="rId5"/>
    <sheet xmlns:r="http://schemas.openxmlformats.org/officeDocument/2006/relationships" name="InvoiceLines" sheetId="6" state="visible" r:id="rId6"/>
    <sheet xmlns:r="http://schemas.openxmlformats.org/officeDocument/2006/relationships" name="EmailLog" sheetId="7" state="visible" r:id="rId7"/>
    <sheet xmlns:r="http://schemas.openxmlformats.org/officeDocument/2006/relationships" name="DocsIssued" sheetId="8" state="visible" r:id="rId8"/>
    <sheet xmlns:r="http://schemas.openxmlformats.org/officeDocument/2006/relationships" name="_Lists" sheetId="9" state="visible" r:id="rId9"/>
  </sheets>
  <definedNames>
    <definedName name="lst_ContainerType">'_Lists'!$A$5:$A$15</definedName>
    <definedName name="lst_Direction">'_Lists'!$B$5:$B$6</definedName>
    <definedName name="lst_DocStatus">'_Lists'!$C$5:$C$9</definedName>
    <definedName name="lst_EmailCategory">'_Lists'!$D$5:$D$15</definedName>
    <definedName name="lst_InvoiceStatus">'_Lists'!$E$5:$E$11</definedName>
    <definedName name="lst_JobStatus">'_Lists'!$F$5:$F$14</definedName>
    <definedName name="lst_MovementType">'_Lists'!$G$5:$G$11</definedName>
    <definedName name="lst_ServiceType">'_Lists'!$H$5:$H$11</definedName>
    <definedName name="lst_UOM">'_Lists'!$I$5:$I$11</definedName>
    <definedName name="lst_WTNDocType">'_Lists'!$J$5:$J$7</definedName>
    <definedName name="lst_YesNo">'_Lists'!$K$5:$K$6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dd/mm/yyyy hh:mm"/>
    <numFmt numFmtId="166" formatCode="yyyy-mm-dd"/>
    <numFmt numFmtId="167" formatCode="dd/mm/yyyy"/>
    <numFmt numFmtId="168" formatCode="£#,##0.00;[Red]-£#,##0.00;&quot;-&quot;"/>
    <numFmt numFmtId="169" formatCode="#,##0;-#,##0;&quot;-&quot;"/>
    <numFmt numFmtId="170" formatCode="#,##0.000;-#,##0.000;&quot;-&quot;"/>
    <numFmt numFmtId="171" formatCode="#,##0.00;-#,##0.00;&quot;-&quot;"/>
    <numFmt numFmtId="172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B2A22"/>
      <sz val="14"/>
    </font>
    <font>
      <name val="Arial"/>
      <i val="1"/>
      <color rgb="005A6B62"/>
      <sz val="9"/>
    </font>
    <font>
      <name val="Arial"/>
      <b val="1"/>
      <color rgb="00FFFFFF"/>
      <sz val="10"/>
    </font>
    <font>
      <name val="Arial"/>
      <i val="1"/>
      <color rgb="007A5A16"/>
      <sz val="10"/>
    </font>
    <font>
      <name val="Arial"/>
      <color rgb="001B2A22"/>
      <sz val="10"/>
    </font>
    <font>
      <name val="Arial"/>
      <b val="1"/>
      <color rgb="001B2A22"/>
      <sz val="18"/>
    </font>
    <font>
      <name val="Arial"/>
      <color rgb="005A6B62"/>
      <sz val="11"/>
    </font>
    <font>
      <name val="Arial"/>
      <b val="1"/>
      <color rgb="001B2A22"/>
      <sz val="12"/>
    </font>
    <font>
      <name val="Arial"/>
      <b val="1"/>
      <color rgb="001B2A22"/>
      <sz val="10"/>
    </font>
  </fonts>
  <fills count="5">
    <fill>
      <patternFill/>
    </fill>
    <fill>
      <patternFill patternType="gray125"/>
    </fill>
    <fill>
      <patternFill patternType="solid">
        <fgColor rgb="002F4A3C"/>
      </patternFill>
    </fill>
    <fill>
      <patternFill patternType="solid">
        <fgColor rgb="00FFF6E5"/>
      </patternFill>
    </fill>
    <fill>
      <patternFill patternType="solid">
        <fgColor rgb="00EDF1EE"/>
      </patternFill>
    </fill>
  </fills>
  <borders count="2">
    <border>
      <left/>
      <right/>
      <top/>
      <bottom/>
      <diagonal/>
    </border>
    <border>
      <left style="thin">
        <color rgb="00C7D2CB"/>
      </left>
      <right style="thin">
        <color rgb="00C7D2CB"/>
      </right>
      <top style="thin">
        <color rgb="00C7D2CB"/>
      </top>
      <bottom style="thin">
        <color rgb="00C7D2C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1" pivotButton="0" quotePrefix="0" xfId="0"/>
    <xf numFmtId="0" fontId="5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pivotButton="0" quotePrefix="0" xfId="0"/>
    <xf numFmtId="165" fontId="4" fillId="3" borderId="1" pivotButton="0" quotePrefix="0" xfId="0"/>
    <xf numFmtId="167" fontId="4" fillId="3" borderId="1" pivotButton="0" quotePrefix="0" xfId="0"/>
    <xf numFmtId="168" fontId="4" fillId="3" borderId="1" pivotButton="0" quotePrefix="0" xfId="0"/>
    <xf numFmtId="169" fontId="5" fillId="4" borderId="1" pivotButton="0" quotePrefix="0" xfId="0"/>
    <xf numFmtId="0" fontId="4" fillId="3" borderId="1" applyAlignment="1" pivotButton="0" quotePrefix="0" xfId="0">
      <alignment vertical="top" wrapText="1"/>
    </xf>
    <xf numFmtId="169" fontId="4" fillId="3" borderId="1" pivotButton="0" quotePrefix="0" xfId="0"/>
    <xf numFmtId="170" fontId="5" fillId="4" borderId="1" pivotButton="0" quotePrefix="0" xfId="0"/>
    <xf numFmtId="170" fontId="4" fillId="3" borderId="1" pivotButton="0" quotePrefix="0" xfId="0"/>
    <xf numFmtId="167" fontId="5" fillId="4" borderId="1" pivotButton="0" quotePrefix="0" xfId="0"/>
    <xf numFmtId="171" fontId="4" fillId="3" borderId="1" pivotButton="0" quotePrefix="0" xfId="0"/>
    <xf numFmtId="168" fontId="5" fillId="4" borderId="1" pivotButton="0" quotePrefix="0" xfId="0"/>
    <xf numFmtId="172" fontId="4" fillId="3" borderId="1" pivotButton="0" quotePrefix="0" xfId="0"/>
    <xf numFmtId="0" fontId="2" fillId="0" borderId="0" applyAlignment="1" pivotButton="0" quotePrefix="0" xfId="0">
      <alignment vertical="top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C5" authorId="0" shapeId="0">
      <text>
        <t>Required.</t>
      </text>
    </comment>
    <comment ref="D5" authorId="0" shapeId="0">
      <text>
        <t>Required.</t>
      </text>
    </comment>
    <comment ref="E5" authorId="0" shapeId="0">
      <text>
        <t>Required. Pick list: ServiceType.</t>
      </text>
    </comment>
    <comment ref="F5" authorId="0" shapeId="0">
      <text>
        <t>Required. Pick list: ContainerType.</t>
      </text>
    </comment>
    <comment ref="H5" authorId="0" shapeId="0">
      <text>
        <t>Required.</t>
      </text>
    </comment>
    <comment ref="K5" authorId="0" shapeId="0">
      <text>
        <t>Required. Pick list: JobStatus.</t>
      </text>
    </comment>
    <comment ref="N5" authorId="0" shapeId="0">
      <text>
        <t>Council skip permit number where the site needs one.</t>
      </text>
    </comment>
    <comment ref="S5" authorId="0" shapeId="0">
      <text>
        <t>Calculated - do not type here. Live counter until the job is completed.</t>
      </text>
    </comment>
    <comment ref="T5" authorId="0" shapeId="0">
      <text>
        <t>EmailID if the job came in from Outlook intake.</t>
      </text>
    </comment>
  </commentList>
</comments>
</file>

<file path=xl/comments/comment2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</t>
      </text>
    </comment>
    <comment ref="C5" authorId="0" shapeId="0">
      <text>
        <t>Required. Pick list: MovementType.</t>
      </text>
    </comment>
    <comment ref="D5" authorId="0" shapeId="0">
      <text>
        <t>Required.</t>
      </text>
    </comment>
    <comment ref="E5" authorId="0" shapeId="0">
      <text>
        <t>Required.</t>
      </text>
    </comment>
  </commentList>
</comments>
</file>

<file path=xl/comments/comment3.xml><?xml version="1.0" encoding="utf-8"?>
<comments xmlns="http://schemas.openxmlformats.org/spreadsheetml/2006/main">
  <authors>
    <author>Acorn Ops</author>
  </authors>
  <commentList>
    <comment ref="A5" authorId="0" shapeId="0">
      <text>
        <t>Required. Unique. Re-importing the same ticket updates rather than duplicates.</t>
      </text>
    </comment>
    <comment ref="B5" authorId="0" shapeId="0">
      <text>
        <t>Required.</t>
      </text>
    </comment>
    <comment ref="C5" authorId="0" shapeId="0">
      <text>
        <t>Required. Pick list: Direction. In = material arriving on site. Out = material leaving to an outlet.</t>
      </text>
    </comment>
    <comment ref="E5" authorId="0" shapeId="0">
      <text>
        <t>Blank until reconciled.</t>
      </text>
    </comment>
    <comment ref="G5" authorId="0" shapeId="0">
      <text>
        <t>Populated on Direction = Out.</t>
      </text>
    </comment>
    <comment ref="H5" authorId="0" shapeId="0">
      <text>
        <t>Required.</t>
      </text>
    </comment>
    <comment ref="K5" authorId="0" shapeId="0">
      <text>
        <t>Calculated - do not type here.</t>
      </text>
    </comment>
    <comment ref="L5" authorId="0" shapeId="0">
      <text>
        <t>Calculated - do not type here.</t>
      </text>
    </comment>
    <comment ref="O5" authorId="0" shapeId="0">
      <text>
        <t>Import / Manual / Adjustment</t>
      </text>
    </comment>
    <comment ref="Q5" authorId="0" shapeId="0">
      <text>
        <t>Pick list: YesNo. No = appears on the Unmatched Tickets report.</t>
      </text>
    </comment>
  </commentList>
</comments>
</file>

<file path=xl/comments/comment4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 Pick list: WTNDocType.</t>
      </text>
    </comment>
    <comment ref="C5" authorId="0" shapeId="0">
      <text>
        <t>Required.</t>
      </text>
    </comment>
    <comment ref="E5" authorId="0" shapeId="0">
      <text>
        <t>Required.</t>
      </text>
    </comment>
    <comment ref="F5" authorId="0" shapeId="0">
      <text>
        <t>Required.</t>
      </text>
    </comment>
    <comment ref="G5" authorId="0" shapeId="0">
      <text>
        <t>Required.</t>
      </text>
    </comment>
    <comment ref="H5" authorId="0" shapeId="0">
      <text>
        <t>Required.</t>
      </text>
    </comment>
    <comment ref="I5" authorId="0" shapeId="0">
      <text>
        <t>Producer's SIC 2007 code - legally required on the note.</t>
      </text>
    </comment>
    <comment ref="J5" authorId="0" shapeId="0">
      <text>
        <t>Pick list: ContainerType.</t>
      </text>
    </comment>
    <comment ref="Q5" authorId="0" shapeId="0">
      <text>
        <t>Calculated - do not type here.</t>
      </text>
    </comment>
    <comment ref="R5" authorId="0" shapeId="0">
      <text>
        <t>Pick list: DocStatus.</t>
      </text>
    </comment>
  </commentList>
</comments>
</file>

<file path=xl/comments/comment5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D5" authorId="0" shapeId="0">
      <text>
        <t>Required.</t>
      </text>
    </comment>
    <comment ref="F5" authorId="0" shapeId="0">
      <text>
        <t>Required.</t>
      </text>
    </comment>
    <comment ref="G5" authorId="0" shapeId="0">
      <text>
        <t>Required.</t>
      </text>
    </comment>
    <comment ref="H5" authorId="0" shapeId="0">
      <text>
        <t>Pick list: UOM.</t>
      </text>
    </comment>
    <comment ref="I5" authorId="0" shapeId="0">
      <text>
        <t>Required.</t>
      </text>
    </comment>
    <comment ref="J5" authorId="0" shapeId="0">
      <text>
        <t>Calculated - do not type here.</t>
      </text>
    </comment>
    <comment ref="K5" authorId="0" shapeId="0">
      <text>
        <t>Standard rate lives on the Console Config sheet.</t>
      </text>
    </comment>
    <comment ref="L5" authorId="0" shapeId="0">
      <text>
        <t>Calculated - do not type here.</t>
      </text>
    </comment>
    <comment ref="M5" authorId="0" shapeId="0">
      <text>
        <t>Calculated - do not type here.</t>
      </text>
    </comment>
    <comment ref="N5" authorId="0" shapeId="0">
      <text>
        <t>Pick list: InvoiceStatus.</t>
      </text>
    </comment>
  </commentList>
</comments>
</file>

<file path=xl/comments/comment6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</t>
      </text>
    </comment>
    <comment ref="F5" authorId="0" shapeId="0">
      <text>
        <t>Pick list: EmailCategory. Set by the rules on the Console Rules sheet.</t>
      </text>
    </comment>
    <comment ref="G5" authorId="0" shapeId="0">
      <text>
        <t>Matched on sender domain, then postcode.</t>
      </text>
    </comment>
    <comment ref="H5" authorId="0" shapeId="0">
      <text>
        <t>Matched on a JOB-nnnn reference in the subject or body.</t>
      </text>
    </comment>
    <comment ref="O5" authorId="0" shapeId="0">
      <text>
        <t>Outlook's own key. Do not edit.</t>
      </text>
    </comment>
    <comment ref="P5" authorId="0" shapeId="0">
      <text>
        <t>Pick list: YesNo.</t>
      </text>
    </comment>
    <comment ref="S5" authorId="0" shapeId="0">
      <text>
        <t>First 1,000 characters, for searching.</t>
      </text>
    </comment>
  </commentList>
</comments>
</file>

<file path=xl/comments/comment7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</t>
      </text>
    </comment>
    <comment ref="C5" authorId="0" shapeId="0">
      <text>
        <t>Required.</t>
      </text>
    </comment>
  </commentList>
</comments>
</file>

<file path=xl/tables/table1.xml><?xml version="1.0" encoding="utf-8"?>
<table xmlns="http://schemas.openxmlformats.org/spreadsheetml/2006/main" id="1" name="tblJobs" displayName="tblJobs" ref="A5:U6" headerRowCount="1">
  <autoFilter ref="A5:U6"/>
  <tableColumns count="21">
    <tableColumn id="1" name="JobID *"/>
    <tableColumn id="2" name="CreatedOn"/>
    <tableColumn id="3" name="CustomerID *"/>
    <tableColumn id="4" name="SiteID *"/>
    <tableColumn id="5" name="ServiceType *"/>
    <tableColumn id="6" name="ContainerType *"/>
    <tableColumn id="7" name="AssetID"/>
    <tableColumn id="8" name="RequestedDate *"/>
    <tableColumn id="9" name="ScheduledDate"/>
    <tableColumn id="10" name="CompletedDate"/>
    <tableColumn id="11" name="Status *"/>
    <tableColumn id="12" name="DriverID"/>
    <tableColumn id="13" name="VehicleReg"/>
    <tableColumn id="14" name="PermitRef"/>
    <tableColumn id="15" name="PONumber"/>
    <tableColumn id="16" name="PriceAgreed"/>
    <tableColumn id="17" name="EWCCode"/>
    <tableColumn id="18" name="WasteDescription"/>
    <tableColumn id="19" name="DaysOnHire"/>
    <tableColumn id="20" name="SourceRef"/>
    <tableColumn id="21" name="Notes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blMovements" displayName="tblMovements" ref="A5:J6" headerRowCount="1">
  <autoFilter ref="A5:J6"/>
  <tableColumns count="10">
    <tableColumn id="1" name="MovementID *"/>
    <tableColumn id="2" name="JobID *"/>
    <tableColumn id="3" name="MovementType *"/>
    <tableColumn id="4" name="MovementDateTime *"/>
    <tableColumn id="5" name="AssetID *"/>
    <tableColumn id="6" name="FromLocation"/>
    <tableColumn id="7" name="ToLocation"/>
    <tableColumn id="8" name="DriverID"/>
    <tableColumn id="9" name="VehicleReg"/>
    <tableColumn id="10" name="Notes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blWeighTickets" displayName="tblWeighTickets" ref="A5:R6" headerRowCount="1">
  <autoFilter ref="A5:R6"/>
  <tableColumns count="18">
    <tableColumn id="1" name="TicketNo *"/>
    <tableColumn id="2" name="TicketDateTime *"/>
    <tableColumn id="3" name="Direction *"/>
    <tableColumn id="4" name="VehicleReg"/>
    <tableColumn id="5" name="JobID"/>
    <tableColumn id="6" name="CustomerID"/>
    <tableColumn id="7" name="OutletID"/>
    <tableColumn id="8" name="EWCCode *"/>
    <tableColumn id="9" name="GrossKg"/>
    <tableColumn id="10" name="TareKg"/>
    <tableColumn id="11" name="NetKg"/>
    <tableColumn id="12" name="NetTonnes"/>
    <tableColumn id="13" name="Weighbridge"/>
    <tableColumn id="14" name="Operator"/>
    <tableColumn id="15" name="Source"/>
    <tableColumn id="16" name="ImportBatch"/>
    <tableColumn id="17" name="Matched"/>
    <tableColumn id="18" name="Notes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4" name="tblTransferNotes" displayName="tblTransferNotes" ref="A5:R6" headerRowCount="1">
  <autoFilter ref="A5:R6"/>
  <tableColumns count="18">
    <tableColumn id="1" name="WTNRef *"/>
    <tableColumn id="2" name="DocType *"/>
    <tableColumn id="3" name="IssueDate *"/>
    <tableColumn id="4" name="JobID"/>
    <tableColumn id="5" name="CustomerID *"/>
    <tableColumn id="6" name="SiteID *"/>
    <tableColumn id="7" name="EWCCode *"/>
    <tableColumn id="8" name="WasteDescription *"/>
    <tableColumn id="9" name="SICCode"/>
    <tableColumn id="10" name="ContainerType"/>
    <tableColumn id="11" name="QuantityTonnes"/>
    <tableColumn id="12" name="CarrierLicence"/>
    <tableColumn id="13" name="ProducerSignedBy"/>
    <tableColumn id="14" name="ProducerSignedOn"/>
    <tableColumn id="15" name="CarrierSignedBy"/>
    <tableColumn id="16" name="DocumentPath"/>
    <tableColumn id="17" name="RetentionUntil"/>
    <tableColumn id="18" name="Status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id="5" name="tblInvoiceLines" displayName="tblInvoiceLines" ref="A5:O6" headerRowCount="1">
  <autoFilter ref="A5:O6"/>
  <tableColumns count="15">
    <tableColumn id="1" name="LineID *"/>
    <tableColumn id="2" name="InvoiceNo"/>
    <tableColumn id="3" name="InvoiceDate"/>
    <tableColumn id="4" name="CustomerID *"/>
    <tableColumn id="5" name="JobID"/>
    <tableColumn id="6" name="Description *"/>
    <tableColumn id="7" name="Qty *"/>
    <tableColumn id="8" name="UOM"/>
    <tableColumn id="9" name="UnitPrice *"/>
    <tableColumn id="10" name="NetAmount"/>
    <tableColumn id="11" name="VATRate"/>
    <tableColumn id="12" name="VATAmount"/>
    <tableColumn id="13" name="GrossAmount"/>
    <tableColumn id="14" name="Status"/>
    <tableColumn id="15" name="ExportedOn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id="6" name="tblEmailLog" displayName="tblEmailLog" ref="A5:S6" headerRowCount="1">
  <autoFilter ref="A5:S6"/>
  <tableColumns count="19">
    <tableColumn id="1" name="EmailID *"/>
    <tableColumn id="2" name="ReceivedOn *"/>
    <tableColumn id="3" name="SenderName"/>
    <tableColumn id="4" name="SenderEmail"/>
    <tableColumn id="5" name="Subject"/>
    <tableColumn id="6" name="Category"/>
    <tableColumn id="7" name="MatchedCustomerID"/>
    <tableColumn id="8" name="MatchedJobID"/>
    <tableColumn id="9" name="ExtractedPostcode"/>
    <tableColumn id="10" name="ExtractedPhone"/>
    <tableColumn id="11" name="ExtractedContainer"/>
    <tableColumn id="12" name="ExtractedDate"/>
    <tableColumn id="13" name="AttachmentCount"/>
    <tableColumn id="14" name="AttachmentFolder"/>
    <tableColumn id="15" name="OutlookEntryID"/>
    <tableColumn id="16" name="Processed"/>
    <tableColumn id="17" name="ProcessedOn"/>
    <tableColumn id="18" name="ActionTaken"/>
    <tableColumn id="19" name="BodyExtract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id="7" name="tblDocsIssued" displayName="tblDocsIssued" ref="A5:H6" headerRowCount="1">
  <autoFilter ref="A5:H6"/>
  <tableColumns count="8">
    <tableColumn id="1" name="IssueID *"/>
    <tableColumn id="2" name="GeneratedOn *"/>
    <tableColumn id="3" name="TemplateName *"/>
    <tableColumn id="4" name="DocType"/>
    <tableColumn id="5" name="JobID"/>
    <tableColumn id="6" name="CustomerID"/>
    <tableColumn id="7" name="FilePath"/>
    <tableColumn id="8" name="GeneratedBy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002F4A3C"/>
    <outlinePr summaryBelow="1" summaryRight="1"/>
    <pageSetUpPr/>
  </sheetPr>
  <dimension ref="B2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0" customWidth="1" min="3" max="3"/>
    <col width="88" customWidth="1" min="4" max="4"/>
  </cols>
  <sheetData>
    <row r="2">
      <c r="B2" s="1" t="inlineStr">
        <is>
          <t>Acorn Recyclers - Operations</t>
        </is>
      </c>
    </row>
    <row r="3">
      <c r="B3" s="2" t="inlineStr">
        <is>
          <t>Day-to-day transactions: jobs, movements, weighbridge tickets, duty-of-care notes, billing lines.</t>
        </is>
      </c>
    </row>
    <row r="5">
      <c r="B5" s="3" t="inlineStr">
        <is>
          <t>How to read these sheets</t>
        </is>
      </c>
    </row>
    <row r="6" ht="26" customHeight="1">
      <c r="B6" s="4" t="inlineStr">
        <is>
          <t>Header ending in *</t>
        </is>
      </c>
      <c r="D6" s="5" t="inlineStr">
        <is>
          <t>The record is not valid without it. The Console will refuse to import a row that is missing one.</t>
        </is>
      </c>
    </row>
    <row r="7" ht="26" customHeight="1">
      <c r="B7" s="4" t="inlineStr">
        <is>
          <t>Grey column</t>
        </is>
      </c>
      <c r="D7" s="5" t="inlineStr">
        <is>
          <t>Calculated. Do not type in it - your value will be overwritten the next time a row is added.</t>
        </is>
      </c>
    </row>
    <row r="8" ht="26" customHeight="1">
      <c r="B8" s="4" t="inlineStr">
        <is>
          <t>Amber italic row</t>
        </is>
      </c>
      <c r="D8" s="5" t="inlineStr">
        <is>
          <t>A worked example showing the expected format. Delete it before you go live (Console &gt; Admin &gt; Clear Example Rows does all three workbooks at once).</t>
        </is>
      </c>
    </row>
    <row r="9" ht="26" customHeight="1">
      <c r="B9" s="4" t="inlineStr">
        <is>
          <t>Red / amber date</t>
        </is>
      </c>
      <c r="D9" s="5" t="inlineStr">
        <is>
          <t>Conditional formatting: red = already past, amber = falls due within 30 days.</t>
        </is>
      </c>
    </row>
    <row r="10" ht="26" customHeight="1">
      <c r="B10" s="4" t="inlineStr">
        <is>
          <t>Hover a header</t>
        </is>
      </c>
      <c r="D10" s="5" t="inlineStr">
        <is>
          <t>Every column with a rule or a gotcha carries a comment explaining it.</t>
        </is>
      </c>
    </row>
    <row r="12">
      <c r="B12" s="3" t="inlineStr">
        <is>
          <t>House rules</t>
        </is>
      </c>
    </row>
    <row r="13" ht="26" customHeight="1">
      <c r="B13" s="4" t="inlineStr">
        <is>
          <t>One row = one thing</t>
        </is>
      </c>
      <c r="D13" s="5" t="inlineStr">
        <is>
          <t>Never use a row for two records, and never leave a gap row inside a table - the table stops there.</t>
        </is>
      </c>
    </row>
    <row r="14" ht="26" customHeight="1">
      <c r="B14" s="4" t="inlineStr">
        <is>
          <t>IDs are permanent</t>
        </is>
      </c>
      <c r="D14" s="5" t="inlineStr">
        <is>
          <t>Allocated by the Console. Never renumber, never reuse, never edit an ID by hand.</t>
        </is>
      </c>
    </row>
    <row r="15" ht="26" customHeight="1">
      <c r="B15" s="4" t="inlineStr">
        <is>
          <t>Type into the table only</t>
        </is>
      </c>
      <c r="D15" s="5" t="inlineStr">
        <is>
          <t>Click the last cell of the last row and press Tab to add a row. The table, its formulas and every formula that reads it all grow automatically.</t>
        </is>
      </c>
    </row>
    <row r="16" ht="26" customHeight="1">
      <c r="B16" s="4" t="inlineStr">
        <is>
          <t>Dates are real dates</t>
        </is>
      </c>
      <c r="D16" s="5" t="inlineStr">
        <is>
          <t>Type 4/8/26, not '4th Aug'. If it sits on the left of the cell, Excel has taken it as text and every date calculation on that row is dead.</t>
        </is>
      </c>
    </row>
    <row r="17" ht="26" customHeight="1">
      <c r="B17" s="4" t="inlineStr">
        <is>
          <t>Never sort by hand</t>
        </is>
      </c>
      <c r="D17" s="5" t="inlineStr">
        <is>
          <t>Use the filter arrows. Sorting a range rather than the table is how data gets shuffled between rows.</t>
        </is>
      </c>
    </row>
    <row r="18" ht="26" customHeight="1">
      <c r="B18" s="4" t="inlineStr">
        <is>
          <t>One person, one workbook</t>
        </is>
      </c>
      <c r="D18" s="5" t="inlineStr">
        <is>
          <t>Put these on the shared drive / SharePoint and let the Console read them. Two people typing into the same workbook at once is how you lose an afternoon.</t>
        </is>
      </c>
    </row>
    <row r="20">
      <c r="B20" s="3" t="inlineStr">
        <is>
          <t>Sheets in this workbook</t>
        </is>
      </c>
    </row>
    <row r="21">
      <c r="B21" s="6" t="inlineStr">
        <is>
          <t>Sheet</t>
        </is>
      </c>
      <c r="C21" s="6" t="inlineStr">
        <is>
          <t>Table</t>
        </is>
      </c>
      <c r="D21" s="6" t="inlineStr">
        <is>
          <t>What it holds</t>
        </is>
      </c>
    </row>
    <row r="22" ht="30" customHeight="1">
      <c r="B22" s="7" t="inlineStr">
        <is>
          <t>Jobs</t>
        </is>
      </c>
      <c r="C22" s="7" t="inlineStr">
        <is>
          <t>tblJobs</t>
        </is>
      </c>
      <c r="D22" s="7" t="inlineStr">
        <is>
          <t>The spine of the system. One row per container movement request.</t>
        </is>
      </c>
    </row>
    <row r="23" ht="30" customHeight="1">
      <c r="B23" s="7" t="inlineStr">
        <is>
          <t>Movements</t>
        </is>
      </c>
      <c r="C23" s="7" t="inlineStr">
        <is>
          <t>tblMovements</t>
        </is>
      </c>
      <c r="D23" s="7" t="inlineStr">
        <is>
          <t>Audit trail of where each container physically went and when.</t>
        </is>
      </c>
    </row>
    <row r="24" ht="30" customHeight="1">
      <c r="B24" s="7" t="inlineStr">
        <is>
          <t>WeighTickets</t>
        </is>
      </c>
      <c r="C24" s="7" t="inlineStr">
        <is>
          <t>tblWeighTickets</t>
        </is>
      </c>
      <c r="D24" s="7" t="inlineStr">
        <is>
          <t>Every weighbridge event, imported from the skip software's CSV export or keyed by hand. NetKg is calculated here, not trusted from the import.  [ISO 14001 9.1 / Weights &amp; Measures]</t>
        </is>
      </c>
    </row>
    <row r="25" ht="30" customHeight="1">
      <c r="B25" s="7" t="inlineStr">
        <is>
          <t>TransferNotes</t>
        </is>
      </c>
      <c r="C25" s="7" t="inlineStr">
        <is>
          <t>tblTransferNotes</t>
        </is>
      </c>
      <c r="D25" s="7" t="inlineStr">
        <is>
          <t>Statutory duty-of-care records. WTNs must be kept 2 years, hazardous consignment notes 3 years - the Archive routine will not delete anything inside those windows.  [Environmental Protection Act 1990 s.34 / ISO 14001 8.1]</t>
        </is>
      </c>
    </row>
    <row r="26" ht="30" customHeight="1">
      <c r="B26" s="7" t="inlineStr">
        <is>
          <t>InvoiceLines</t>
        </is>
      </c>
      <c r="C26" s="7" t="inlineStr">
        <is>
          <t>tblInvoiceLines</t>
        </is>
      </c>
      <c r="D26" s="7" t="inlineStr">
        <is>
          <t>Charge lines built from completed jobs and weighed tonnage, ready to export to the accounts package. This platform prices work; it is not the accounting system of record.</t>
        </is>
      </c>
    </row>
    <row r="27" ht="30" customHeight="1">
      <c r="B27" s="7" t="inlineStr">
        <is>
          <t>EmailLog</t>
        </is>
      </c>
      <c r="C27" s="7" t="inlineStr">
        <is>
          <t>tblEmailLog</t>
        </is>
      </c>
      <c r="D27" s="7" t="inlineStr">
        <is>
          <t>One row per email harvested from Outlook. OutlookEntryID makes the scrape idempotent - running it twice never double-logs a message.</t>
        </is>
      </c>
    </row>
    <row r="28" ht="30" customHeight="1">
      <c r="B28" s="7" t="inlineStr">
        <is>
          <t>DocsIssued</t>
        </is>
      </c>
      <c r="C28" s="7" t="inlineStr">
        <is>
          <t>tblDocsIssued</t>
        </is>
      </c>
      <c r="D28" s="7" t="inlineStr">
        <is>
          <t>Every Word/PDF the platform produced, so a document can always be traced back to its data.  [ISO 9001 7.5.3]</t>
        </is>
      </c>
    </row>
    <row r="30">
      <c r="B30" s="8" t="inlineStr">
        <is>
          <t>Generated by acorn-ops/build/build_data.py from schema.py. Rebuild rather than hand-edit.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1" customWidth="1" min="4" max="4"/>
    <col width="15" customWidth="1" min="5" max="5"/>
    <col width="18" customWidth="1" min="6" max="6"/>
    <col width="11" customWidth="1" min="7" max="7"/>
    <col width="13" customWidth="1" min="8" max="8"/>
    <col width="13" customWidth="1" min="9" max="9"/>
    <col width="13" customWidth="1" min="10" max="10"/>
    <col width="18" customWidth="1" min="11" max="11"/>
    <col width="10" customWidth="1" min="12" max="12"/>
    <col width="12" customWidth="1" min="13" max="13"/>
    <col width="13" customWidth="1" min="14" max="14"/>
    <col width="14" customWidth="1" min="15" max="15"/>
    <col width="12" customWidth="1" min="16" max="16"/>
    <col width="11" customWidth="1" min="17" max="17"/>
    <col width="30" customWidth="1" min="18" max="18"/>
    <col width="12" customWidth="1" min="19" max="19"/>
    <col width="14" customWidth="1" min="20" max="20"/>
    <col width="30" customWidth="1" min="21" max="21"/>
  </cols>
  <sheetData>
    <row r="1">
      <c r="A1" s="9" t="inlineStr">
        <is>
          <t>Jobs</t>
        </is>
      </c>
    </row>
    <row r="2">
      <c r="A2" s="8" t="inlineStr">
        <is>
          <t>The spine of the system. One row per container movement request.</t>
        </is>
      </c>
    </row>
    <row r="5" ht="30" customHeight="1">
      <c r="A5" s="10" t="inlineStr">
        <is>
          <t>JobID *</t>
        </is>
      </c>
      <c r="B5" s="10" t="inlineStr">
        <is>
          <t>CreatedOn</t>
        </is>
      </c>
      <c r="C5" s="10" t="inlineStr">
        <is>
          <t>CustomerID *</t>
        </is>
      </c>
      <c r="D5" s="10" t="inlineStr">
        <is>
          <t>SiteID *</t>
        </is>
      </c>
      <c r="E5" s="10" t="inlineStr">
        <is>
          <t>ServiceType *</t>
        </is>
      </c>
      <c r="F5" s="10" t="inlineStr">
        <is>
          <t>ContainerType *</t>
        </is>
      </c>
      <c r="G5" s="10" t="inlineStr">
        <is>
          <t>AssetID</t>
        </is>
      </c>
      <c r="H5" s="10" t="inlineStr">
        <is>
          <t>RequestedDate *</t>
        </is>
      </c>
      <c r="I5" s="10" t="inlineStr">
        <is>
          <t>ScheduledDate</t>
        </is>
      </c>
      <c r="J5" s="10" t="inlineStr">
        <is>
          <t>CompletedDate</t>
        </is>
      </c>
      <c r="K5" s="10" t="inlineStr">
        <is>
          <t>Status *</t>
        </is>
      </c>
      <c r="L5" s="10" t="inlineStr">
        <is>
          <t>DriverID</t>
        </is>
      </c>
      <c r="M5" s="10" t="inlineStr">
        <is>
          <t>VehicleReg</t>
        </is>
      </c>
      <c r="N5" s="10" t="inlineStr">
        <is>
          <t>PermitRef</t>
        </is>
      </c>
      <c r="O5" s="10" t="inlineStr">
        <is>
          <t>PONumber</t>
        </is>
      </c>
      <c r="P5" s="10" t="inlineStr">
        <is>
          <t>PriceAgreed</t>
        </is>
      </c>
      <c r="Q5" s="10" t="inlineStr">
        <is>
          <t>EWCCode</t>
        </is>
      </c>
      <c r="R5" s="10" t="inlineStr">
        <is>
          <t>WasteDescription</t>
        </is>
      </c>
      <c r="S5" s="10" t="inlineStr">
        <is>
          <t>DaysOnHire</t>
        </is>
      </c>
      <c r="T5" s="10" t="inlineStr">
        <is>
          <t>SourceRef</t>
        </is>
      </c>
      <c r="U5" s="10" t="inlineStr">
        <is>
          <t>Notes</t>
        </is>
      </c>
    </row>
    <row r="6" ht="30" customHeight="1">
      <c r="A6" s="11" t="inlineStr">
        <is>
          <t>JOB-1042</t>
        </is>
      </c>
      <c r="B6" s="12" t="n">
        <v>46238.38333333333</v>
      </c>
      <c r="C6" s="11" t="inlineStr">
        <is>
          <t>ACC-0001</t>
        </is>
      </c>
      <c r="D6" s="11" t="inlineStr">
        <is>
          <t>SIT-0001</t>
        </is>
      </c>
      <c r="E6" s="11" t="inlineStr">
        <is>
          <t>Delivery</t>
        </is>
      </c>
      <c r="F6" s="11" t="inlineStr">
        <is>
          <t>8yd Skip</t>
        </is>
      </c>
      <c r="G6" s="11" t="inlineStr">
        <is>
          <t>AST-0001</t>
        </is>
      </c>
      <c r="H6" s="13" t="n">
        <v>46238</v>
      </c>
      <c r="I6" s="13" t="n">
        <v>46238</v>
      </c>
      <c r="J6" s="13" t="inlineStr"/>
      <c r="K6" s="11" t="inlineStr">
        <is>
          <t>On Site</t>
        </is>
      </c>
      <c r="L6" s="11" t="inlineStr">
        <is>
          <t>DRV-001</t>
        </is>
      </c>
      <c r="M6" s="11" t="inlineStr">
        <is>
          <t>YJ71 KLM</t>
        </is>
      </c>
      <c r="N6" s="11" t="inlineStr"/>
      <c r="O6" s="11" t="inlineStr">
        <is>
          <t>PO-88231</t>
        </is>
      </c>
      <c r="P6" s="14" t="n">
        <v>285</v>
      </c>
      <c r="Q6" s="11" t="inlineStr">
        <is>
          <t>170904</t>
        </is>
      </c>
      <c r="R6" s="11" t="inlineStr">
        <is>
          <t>Mixed construction and demolition wastes</t>
        </is>
      </c>
      <c r="S6" s="15">
        <f>IF(OR(I6="",K6="Cancelled"),"",IF(J6="",TODAY()-I6,J6-I6))</f>
        <v/>
      </c>
      <c r="T6" s="11" t="inlineStr">
        <is>
          <t>EML-000117</t>
        </is>
      </c>
      <c r="U6" s="16" t="inlineStr">
        <is>
          <t>Phase 2 strip out.</t>
        </is>
      </c>
    </row>
  </sheetData>
  <dataValidations count="3">
    <dataValidation sqref="E6:E2000" showDropDown="0" showInputMessage="0" showErrorMessage="1" allowBlank="1" errorTitle="Not on the list" error="Pick one of the ServiceType options. If you genuinely need a new one, add it on the _Lists sheet first." type="list">
      <formula1>=lst_ServiceType</formula1>
    </dataValidation>
    <dataValidation sqref="F6:F2000" showDropDown="0" showInputMessage="0" showErrorMessage="1" allowBlank="1" errorTitle="Not on the list" error="Pick one of the ContainerType options. If you genuinely need a new one, add it on the _Lists sheet first." type="list">
      <formula1>=lst_ContainerType</formula1>
    </dataValidation>
    <dataValidation sqref="K6:K2000" showDropDown="0" showInputMessage="0" showErrorMessage="1" allowBlank="1" errorTitle="Not on the list" error="Pick one of the JobStatus options. If you genuinely need a new one, add it on the _Lists sheet first." type="list">
      <formula1>=lst_JobStatus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7" customWidth="1" min="4" max="4"/>
    <col width="11" customWidth="1" min="5" max="5"/>
    <col width="18" customWidth="1" min="6" max="6"/>
    <col width="18" customWidth="1" min="7" max="7"/>
    <col width="10" customWidth="1" min="8" max="8"/>
    <col width="12" customWidth="1" min="9" max="9"/>
    <col width="28" customWidth="1" min="10" max="10"/>
  </cols>
  <sheetData>
    <row r="1">
      <c r="A1" s="9" t="inlineStr">
        <is>
          <t>Container Movements</t>
        </is>
      </c>
    </row>
    <row r="2">
      <c r="A2" s="8" t="inlineStr">
        <is>
          <t>Audit trail of where each container physically went and when.</t>
        </is>
      </c>
    </row>
    <row r="5" ht="30" customHeight="1">
      <c r="A5" s="10" t="inlineStr">
        <is>
          <t>MovementID *</t>
        </is>
      </c>
      <c r="B5" s="10" t="inlineStr">
        <is>
          <t>JobID *</t>
        </is>
      </c>
      <c r="C5" s="10" t="inlineStr">
        <is>
          <t>MovementType *</t>
        </is>
      </c>
      <c r="D5" s="10" t="inlineStr">
        <is>
          <t>MovementDateTime *</t>
        </is>
      </c>
      <c r="E5" s="10" t="inlineStr">
        <is>
          <t>AssetID *</t>
        </is>
      </c>
      <c r="F5" s="10" t="inlineStr">
        <is>
          <t>FromLocation</t>
        </is>
      </c>
      <c r="G5" s="10" t="inlineStr">
        <is>
          <t>ToLocation</t>
        </is>
      </c>
      <c r="H5" s="10" t="inlineStr">
        <is>
          <t>DriverID</t>
        </is>
      </c>
      <c r="I5" s="10" t="inlineStr">
        <is>
          <t>VehicleReg</t>
        </is>
      </c>
      <c r="J5" s="10" t="inlineStr">
        <is>
          <t>Notes</t>
        </is>
      </c>
    </row>
    <row r="6" ht="30" customHeight="1">
      <c r="A6" s="11" t="inlineStr">
        <is>
          <t>MOV-002115</t>
        </is>
      </c>
      <c r="B6" s="11" t="inlineStr">
        <is>
          <t>JOB-1042</t>
        </is>
      </c>
      <c r="C6" s="11" t="inlineStr">
        <is>
          <t>Delivered</t>
        </is>
      </c>
      <c r="D6" s="12" t="n">
        <v>46238.44444444445</v>
      </c>
      <c r="E6" s="11" t="inlineStr">
        <is>
          <t>AST-0001</t>
        </is>
      </c>
      <c r="F6" s="11" t="inlineStr">
        <is>
          <t>Yard</t>
        </is>
      </c>
      <c r="G6" s="11" t="inlineStr">
        <is>
          <t>SIT-0001</t>
        </is>
      </c>
      <c r="H6" s="11" t="inlineStr">
        <is>
          <t>DRV-001</t>
        </is>
      </c>
      <c r="I6" s="11" t="inlineStr">
        <is>
          <t>YJ71 KLM</t>
        </is>
      </c>
      <c r="J6" s="16" t="inlineStr"/>
    </row>
  </sheetData>
  <dataValidations count="1">
    <dataValidation sqref="C6:C2000" showDropDown="0" showInputMessage="0" showErrorMessage="1" allowBlank="1" errorTitle="Not on the list" error="Pick one of the MovementType options. If you genuinely need a new one, add it on the _Lists sheet first." type="list">
      <formula1>=lst_MovementType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3" customWidth="1" min="13" max="13"/>
    <col width="14" customWidth="1" min="14" max="14"/>
    <col width="12" customWidth="1" min="15" max="15"/>
    <col width="16" customWidth="1" min="16" max="16"/>
    <col width="10" customWidth="1" min="17" max="17"/>
    <col width="26" customWidth="1" min="18" max="18"/>
  </cols>
  <sheetData>
    <row r="1">
      <c r="A1" s="9" t="inlineStr">
        <is>
          <t>Weighbridge Tickets</t>
        </is>
      </c>
    </row>
    <row r="2">
      <c r="A2" s="8" t="inlineStr">
        <is>
          <t>Every weighbridge event, imported from the skip software's CSV export or keyed by hand. NetKg is calculated here, not trusted from the import.</t>
        </is>
      </c>
    </row>
    <row r="3">
      <c r="A3" s="8" t="inlineStr">
        <is>
          <t>Reference: ISO 14001 9.1 / Weights &amp; Measures</t>
        </is>
      </c>
    </row>
    <row r="5" ht="30" customHeight="1">
      <c r="A5" s="10" t="inlineStr">
        <is>
          <t>TicketNo *</t>
        </is>
      </c>
      <c r="B5" s="10" t="inlineStr">
        <is>
          <t>TicketDateTime *</t>
        </is>
      </c>
      <c r="C5" s="10" t="inlineStr">
        <is>
          <t>Direction *</t>
        </is>
      </c>
      <c r="D5" s="10" t="inlineStr">
        <is>
          <t>VehicleReg</t>
        </is>
      </c>
      <c r="E5" s="10" t="inlineStr">
        <is>
          <t>JobID</t>
        </is>
      </c>
      <c r="F5" s="10" t="inlineStr">
        <is>
          <t>CustomerID</t>
        </is>
      </c>
      <c r="G5" s="10" t="inlineStr">
        <is>
          <t>OutletID</t>
        </is>
      </c>
      <c r="H5" s="10" t="inlineStr">
        <is>
          <t>EWCCode *</t>
        </is>
      </c>
      <c r="I5" s="10" t="inlineStr">
        <is>
          <t>GrossKg</t>
        </is>
      </c>
      <c r="J5" s="10" t="inlineStr">
        <is>
          <t>TareKg</t>
        </is>
      </c>
      <c r="K5" s="10" t="inlineStr">
        <is>
          <t>NetKg</t>
        </is>
      </c>
      <c r="L5" s="10" t="inlineStr">
        <is>
          <t>NetTonnes</t>
        </is>
      </c>
      <c r="M5" s="10" t="inlineStr">
        <is>
          <t>Weighbridge</t>
        </is>
      </c>
      <c r="N5" s="10" t="inlineStr">
        <is>
          <t>Operator</t>
        </is>
      </c>
      <c r="O5" s="10" t="inlineStr">
        <is>
          <t>Source</t>
        </is>
      </c>
      <c r="P5" s="10" t="inlineStr">
        <is>
          <t>ImportBatch</t>
        </is>
      </c>
      <c r="Q5" s="10" t="inlineStr">
        <is>
          <t>Matched</t>
        </is>
      </c>
      <c r="R5" s="10" t="inlineStr">
        <is>
          <t>Notes</t>
        </is>
      </c>
    </row>
    <row r="6" ht="30" customHeight="1">
      <c r="A6" s="11" t="inlineStr">
        <is>
          <t>WB-0098231</t>
        </is>
      </c>
      <c r="B6" s="12" t="n">
        <v>46240.59861111111</v>
      </c>
      <c r="C6" s="11" t="inlineStr">
        <is>
          <t>In</t>
        </is>
      </c>
      <c r="D6" s="11" t="inlineStr">
        <is>
          <t>YJ71 KLM</t>
        </is>
      </c>
      <c r="E6" s="11" t="inlineStr">
        <is>
          <t>JOB-1042</t>
        </is>
      </c>
      <c r="F6" s="11" t="inlineStr">
        <is>
          <t>ACC-0001</t>
        </is>
      </c>
      <c r="G6" s="11" t="inlineStr"/>
      <c r="H6" s="11" t="inlineStr">
        <is>
          <t>170904</t>
        </is>
      </c>
      <c r="I6" s="17" t="n">
        <v>14260</v>
      </c>
      <c r="J6" s="17" t="n">
        <v>8400</v>
      </c>
      <c r="K6" s="15">
        <f>IF(OR(I6="",J6=""),"",MAX(0,I6-J6))</f>
        <v/>
      </c>
      <c r="L6" s="18">
        <f>IF(K6="","",K6/1000)</f>
        <v/>
      </c>
      <c r="M6" s="11" t="inlineStr">
        <is>
          <t>WB1</t>
        </is>
      </c>
      <c r="N6" s="11" t="inlineStr">
        <is>
          <t>K Dolan</t>
        </is>
      </c>
      <c r="O6" s="11" t="inlineStr">
        <is>
          <t>Import</t>
        </is>
      </c>
      <c r="P6" s="11" t="inlineStr">
        <is>
          <t>WBI-20260806-01</t>
        </is>
      </c>
      <c r="Q6" s="11" t="inlineStr">
        <is>
          <t>Yes</t>
        </is>
      </c>
      <c r="R6" s="16" t="inlineStr"/>
    </row>
  </sheetData>
  <dataValidations count="2">
    <dataValidation sqref="C6:C2000" showDropDown="0" showInputMessage="0" showErrorMessage="1" allowBlank="1" errorTitle="Not on the list" error="Pick one of the Direction options. If you genuinely need a new one, add it on the _Lists sheet first." type="list">
      <formula1>=lst_Direction</formula1>
    </dataValidation>
    <dataValidation sqref="Q6:Q2000" showDropDown="0" showInputMessage="0" showErrorMessage="1" allowBlank="1" errorTitle="Not on the list" error="Pick one of the YesNo options. If you genuinely need a new one, add it on the _Lists sheet first." type="list">
      <formula1>=lst_YesNo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2" customWidth="1" min="5" max="5"/>
    <col width="11" customWidth="1" min="6" max="6"/>
    <col width="11" customWidth="1" min="7" max="7"/>
    <col width="32" customWidth="1" min="8" max="8"/>
    <col width="10" customWidth="1" min="9" max="9"/>
    <col width="16" customWidth="1" min="10" max="10"/>
    <col width="14" customWidth="1" min="11" max="11"/>
    <col width="15" customWidth="1" min="12" max="12"/>
    <col width="18" customWidth="1" min="13" max="13"/>
    <col width="15" customWidth="1" min="14" max="14"/>
    <col width="17" customWidth="1" min="15" max="15"/>
    <col width="34" customWidth="1" min="16" max="16"/>
    <col width="14" customWidth="1" min="17" max="17"/>
    <col width="12" customWidth="1" min="18" max="18"/>
  </cols>
  <sheetData>
    <row r="1">
      <c r="A1" s="9" t="inlineStr">
        <is>
          <t>Waste Transfer / Consignment Notes</t>
        </is>
      </c>
    </row>
    <row r="2">
      <c r="A2" s="8" t="inlineStr">
        <is>
          <t>Statutory duty-of-care records. WTNs must be kept 2 years, hazardous consignment notes 3 years - the Archive routine will not delete anything inside those windows.</t>
        </is>
      </c>
    </row>
    <row r="3">
      <c r="A3" s="8" t="inlineStr">
        <is>
          <t>Reference: Environmental Protection Act 1990 s.34 / ISO 14001 8.1</t>
        </is>
      </c>
    </row>
    <row r="5" ht="30" customHeight="1">
      <c r="A5" s="10" t="inlineStr">
        <is>
          <t>WTNRef *</t>
        </is>
      </c>
      <c r="B5" s="10" t="inlineStr">
        <is>
          <t>DocType *</t>
        </is>
      </c>
      <c r="C5" s="10" t="inlineStr">
        <is>
          <t>IssueDate *</t>
        </is>
      </c>
      <c r="D5" s="10" t="inlineStr">
        <is>
          <t>JobID</t>
        </is>
      </c>
      <c r="E5" s="10" t="inlineStr">
        <is>
          <t>CustomerID *</t>
        </is>
      </c>
      <c r="F5" s="10" t="inlineStr">
        <is>
          <t>SiteID *</t>
        </is>
      </c>
      <c r="G5" s="10" t="inlineStr">
        <is>
          <t>EWCCode *</t>
        </is>
      </c>
      <c r="H5" s="10" t="inlineStr">
        <is>
          <t>WasteDescription *</t>
        </is>
      </c>
      <c r="I5" s="10" t="inlineStr">
        <is>
          <t>SICCode</t>
        </is>
      </c>
      <c r="J5" s="10" t="inlineStr">
        <is>
          <t>ContainerType</t>
        </is>
      </c>
      <c r="K5" s="10" t="inlineStr">
        <is>
          <t>QuantityTonnes</t>
        </is>
      </c>
      <c r="L5" s="10" t="inlineStr">
        <is>
          <t>CarrierLicence</t>
        </is>
      </c>
      <c r="M5" s="10" t="inlineStr">
        <is>
          <t>ProducerSignedBy</t>
        </is>
      </c>
      <c r="N5" s="10" t="inlineStr">
        <is>
          <t>ProducerSignedOn</t>
        </is>
      </c>
      <c r="O5" s="10" t="inlineStr">
        <is>
          <t>CarrierSignedBy</t>
        </is>
      </c>
      <c r="P5" s="10" t="inlineStr">
        <is>
          <t>DocumentPath</t>
        </is>
      </c>
      <c r="Q5" s="10" t="inlineStr">
        <is>
          <t>RetentionUntil</t>
        </is>
      </c>
      <c r="R5" s="10" t="inlineStr">
        <is>
          <t>Status</t>
        </is>
      </c>
    </row>
    <row r="6" ht="30" customHeight="1">
      <c r="A6" s="11" t="inlineStr">
        <is>
          <t>WTN-004411</t>
        </is>
      </c>
      <c r="B6" s="11" t="inlineStr">
        <is>
          <t>Waste Transfer Note</t>
        </is>
      </c>
      <c r="C6" s="13" t="n">
        <v>46240</v>
      </c>
      <c r="D6" s="11" t="inlineStr">
        <is>
          <t>JOB-1042</t>
        </is>
      </c>
      <c r="E6" s="11" t="inlineStr">
        <is>
          <t>ACC-0001</t>
        </is>
      </c>
      <c r="F6" s="11" t="inlineStr">
        <is>
          <t>SIT-0001</t>
        </is>
      </c>
      <c r="G6" s="11" t="inlineStr">
        <is>
          <t>170904</t>
        </is>
      </c>
      <c r="H6" s="11" t="inlineStr">
        <is>
          <t>Mixed construction and demolition wastes</t>
        </is>
      </c>
      <c r="I6" s="11" t="inlineStr">
        <is>
          <t>41201</t>
        </is>
      </c>
      <c r="J6" s="11" t="inlineStr">
        <is>
          <t>8yd Skip</t>
        </is>
      </c>
      <c r="K6" s="19" t="n">
        <v>5.86</v>
      </c>
      <c r="L6" s="11" t="inlineStr">
        <is>
          <t>CBDU987654</t>
        </is>
      </c>
      <c r="M6" s="11" t="inlineStr">
        <is>
          <t>M Reece</t>
        </is>
      </c>
      <c r="N6" s="13" t="n">
        <v>46240</v>
      </c>
      <c r="O6" s="11" t="inlineStr">
        <is>
          <t>A Pickering</t>
        </is>
      </c>
      <c r="P6" s="11" t="inlineStr">
        <is>
          <t>04_Documents\Jobs\JOB-1042\WTN-004411.pdf</t>
        </is>
      </c>
      <c r="Q6" s="20">
        <f>IF(C6="","",EDATE(C6,IF(B6="Hazardous Consignment Note",36,24)))</f>
        <v/>
      </c>
      <c r="R6" s="11" t="inlineStr">
        <is>
          <t>Issued</t>
        </is>
      </c>
    </row>
  </sheetData>
  <dataValidations count="3">
    <dataValidation sqref="B6:B2000" showDropDown="0" showInputMessage="0" showErrorMessage="1" allowBlank="1" errorTitle="Not on the list" error="Pick one of the WTNDocType options. If you genuinely need a new one, add it on the _Lists sheet first." type="list">
      <formula1>=lst_WTNDocType</formula1>
    </dataValidation>
    <dataValidation sqref="J6:J2000" showDropDown="0" showInputMessage="0" showErrorMessage="1" allowBlank="1" errorTitle="Not on the list" error="Pick one of the ContainerType options. If you genuinely need a new one, add it on the _Lists sheet first." type="list">
      <formula1>=lst_ContainerType</formula1>
    </dataValidation>
    <dataValidation sqref="R6:R2000" showDropDown="0" showInputMessage="0" showErrorMessage="1" allowBlank="1" errorTitle="Not on the list" error="Pick one of the DocStatus options. If you genuinely need a new one, add it on the _Lists sheet first." type="list">
      <formula1>=lst_DocStatus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34" customWidth="1" min="6" max="6"/>
    <col width="9" customWidth="1" min="7" max="7"/>
    <col width="9" customWidth="1" min="8" max="8"/>
    <col width="11" customWidth="1" min="9" max="9"/>
    <col width="12" customWidth="1" min="10" max="10"/>
    <col width="9" customWidth="1" min="11" max="11"/>
    <col width="11" customWidth="1" min="12" max="12"/>
    <col width="12" customWidth="1" min="13" max="13"/>
    <col width="12" customWidth="1" min="14" max="14"/>
    <col width="12" customWidth="1" min="15" max="15"/>
  </cols>
  <sheetData>
    <row r="1">
      <c r="A1" s="9" t="inlineStr">
        <is>
          <t>Invoice Lines (pre-billing)</t>
        </is>
      </c>
    </row>
    <row r="2">
      <c r="A2" s="8" t="inlineStr">
        <is>
          <t>Charge lines built from completed jobs and weighed tonnage, ready to export to the accounts package. This platform prices work; it is not the accounting system of record.</t>
        </is>
      </c>
    </row>
    <row r="5" ht="30" customHeight="1">
      <c r="A5" s="10" t="inlineStr">
        <is>
          <t>LineID *</t>
        </is>
      </c>
      <c r="B5" s="10" t="inlineStr">
        <is>
          <t>InvoiceNo</t>
        </is>
      </c>
      <c r="C5" s="10" t="inlineStr">
        <is>
          <t>InvoiceDate</t>
        </is>
      </c>
      <c r="D5" s="10" t="inlineStr">
        <is>
          <t>CustomerID *</t>
        </is>
      </c>
      <c r="E5" s="10" t="inlineStr">
        <is>
          <t>JobID</t>
        </is>
      </c>
      <c r="F5" s="10" t="inlineStr">
        <is>
          <t>Description *</t>
        </is>
      </c>
      <c r="G5" s="10" t="inlineStr">
        <is>
          <t>Qty *</t>
        </is>
      </c>
      <c r="H5" s="10" t="inlineStr">
        <is>
          <t>UOM</t>
        </is>
      </c>
      <c r="I5" s="10" t="inlineStr">
        <is>
          <t>UnitPrice *</t>
        </is>
      </c>
      <c r="J5" s="10" t="inlineStr">
        <is>
          <t>NetAmount</t>
        </is>
      </c>
      <c r="K5" s="10" t="inlineStr">
        <is>
          <t>VATRate</t>
        </is>
      </c>
      <c r="L5" s="10" t="inlineStr">
        <is>
          <t>VATAmount</t>
        </is>
      </c>
      <c r="M5" s="10" t="inlineStr">
        <is>
          <t>GrossAmount</t>
        </is>
      </c>
      <c r="N5" s="10" t="inlineStr">
        <is>
          <t>Status</t>
        </is>
      </c>
      <c r="O5" s="10" t="inlineStr">
        <is>
          <t>ExportedOn</t>
        </is>
      </c>
    </row>
    <row r="6" ht="30" customHeight="1">
      <c r="A6" s="11" t="inlineStr">
        <is>
          <t>INL-008812</t>
        </is>
      </c>
      <c r="B6" s="11" t="inlineStr"/>
      <c r="C6" s="13" t="inlineStr"/>
      <c r="D6" s="11" t="inlineStr">
        <is>
          <t>ACC-0001</t>
        </is>
      </c>
      <c r="E6" s="11" t="inlineStr">
        <is>
          <t>JOB-1042</t>
        </is>
      </c>
      <c r="F6" s="11" t="inlineStr">
        <is>
          <t>8yd skip hire - Parkway Phase 2</t>
        </is>
      </c>
      <c r="G6" s="21" t="n">
        <v>1</v>
      </c>
      <c r="H6" s="11" t="inlineStr">
        <is>
          <t>Job</t>
        </is>
      </c>
      <c r="I6" s="14" t="n">
        <v>285</v>
      </c>
      <c r="J6" s="22">
        <f>IF(G6="","",ROUND(G6*I6,2))</f>
        <v/>
      </c>
      <c r="K6" s="23" t="n">
        <v>0.2</v>
      </c>
      <c r="L6" s="22">
        <f>IF(J6="","",ROUND(J6*IF(K6="",0,K6),2))</f>
        <v/>
      </c>
      <c r="M6" s="22">
        <f>IF(J6="","",J6+L6)</f>
        <v/>
      </c>
      <c r="N6" s="11" t="inlineStr">
        <is>
          <t>Draft</t>
        </is>
      </c>
      <c r="O6" s="13" t="inlineStr"/>
    </row>
  </sheetData>
  <dataValidations count="2">
    <dataValidation sqref="H6:H2000" showDropDown="0" showInputMessage="0" showErrorMessage="1" allowBlank="1" errorTitle="Not on the list" error="Pick one of the UOM options. If you genuinely need a new one, add it on the _Lists sheet first." type="list">
      <formula1>=lst_UOM</formula1>
    </dataValidation>
    <dataValidation sqref="N6:N2000" showDropDown="0" showInputMessage="0" showErrorMessage="1" allowBlank="1" errorTitle="Not on the list" error="Pick one of the InvoiceStatus options. If you genuinely need a new one, add it on the _Lists sheet first." type="list">
      <formula1>=lst_InvoiceStatus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8" customWidth="1" min="4" max="4"/>
    <col width="40" customWidth="1" min="5" max="5"/>
    <col width="17" customWidth="1" min="6" max="6"/>
    <col width="16" customWidth="1" min="7" max="7"/>
    <col width="13" customWidth="1" min="8" max="8"/>
    <col width="16" customWidth="1" min="9" max="9"/>
    <col width="14" customWidth="1" min="10" max="10"/>
    <col width="17" customWidth="1" min="11" max="11"/>
    <col width="13" customWidth="1" min="12" max="12"/>
    <col width="15" customWidth="1" min="13" max="13"/>
    <col width="34" customWidth="1" min="14" max="14"/>
    <col width="22" customWidth="1" min="15" max="15"/>
    <col width="11" customWidth="1" min="16" max="16"/>
    <col width="16" customWidth="1" min="17" max="17"/>
    <col width="22" customWidth="1" min="18" max="18"/>
    <col width="44" customWidth="1" min="19" max="19"/>
  </cols>
  <sheetData>
    <row r="1">
      <c r="A1" s="9" t="inlineStr">
        <is>
          <t>Outlook Intake Log</t>
        </is>
      </c>
    </row>
    <row r="2">
      <c r="A2" s="8" t="inlineStr">
        <is>
          <t>One row per email harvested from Outlook. OutlookEntryID makes the scrape idempotent - running it twice never double-logs a message.</t>
        </is>
      </c>
    </row>
    <row r="5" ht="30" customHeight="1">
      <c r="A5" s="10" t="inlineStr">
        <is>
          <t>EmailID *</t>
        </is>
      </c>
      <c r="B5" s="10" t="inlineStr">
        <is>
          <t>ReceivedOn *</t>
        </is>
      </c>
      <c r="C5" s="10" t="inlineStr">
        <is>
          <t>SenderName</t>
        </is>
      </c>
      <c r="D5" s="10" t="inlineStr">
        <is>
          <t>SenderEmail</t>
        </is>
      </c>
      <c r="E5" s="10" t="inlineStr">
        <is>
          <t>Subject</t>
        </is>
      </c>
      <c r="F5" s="10" t="inlineStr">
        <is>
          <t>Category</t>
        </is>
      </c>
      <c r="G5" s="10" t="inlineStr">
        <is>
          <t>MatchedCustomerID</t>
        </is>
      </c>
      <c r="H5" s="10" t="inlineStr">
        <is>
          <t>MatchedJobID</t>
        </is>
      </c>
      <c r="I5" s="10" t="inlineStr">
        <is>
          <t>ExtractedPostcode</t>
        </is>
      </c>
      <c r="J5" s="10" t="inlineStr">
        <is>
          <t>ExtractedPhone</t>
        </is>
      </c>
      <c r="K5" s="10" t="inlineStr">
        <is>
          <t>ExtractedContainer</t>
        </is>
      </c>
      <c r="L5" s="10" t="inlineStr">
        <is>
          <t>ExtractedDate</t>
        </is>
      </c>
      <c r="M5" s="10" t="inlineStr">
        <is>
          <t>AttachmentCount</t>
        </is>
      </c>
      <c r="N5" s="10" t="inlineStr">
        <is>
          <t>AttachmentFolder</t>
        </is>
      </c>
      <c r="O5" s="10" t="inlineStr">
        <is>
          <t>OutlookEntryID</t>
        </is>
      </c>
      <c r="P5" s="10" t="inlineStr">
        <is>
          <t>Processed</t>
        </is>
      </c>
      <c r="Q5" s="10" t="inlineStr">
        <is>
          <t>ProcessedOn</t>
        </is>
      </c>
      <c r="R5" s="10" t="inlineStr">
        <is>
          <t>ActionTaken</t>
        </is>
      </c>
      <c r="S5" s="10" t="inlineStr">
        <is>
          <t>BodyExtract</t>
        </is>
      </c>
    </row>
    <row r="6" ht="30" customHeight="1">
      <c r="A6" s="11" t="inlineStr">
        <is>
          <t>EML-000117</t>
        </is>
      </c>
      <c r="B6" s="12" t="n">
        <v>46238.37152777778</v>
      </c>
      <c r="C6" s="11" t="inlineStr">
        <is>
          <t>Mick Reece</t>
        </is>
      </c>
      <c r="D6" s="11" t="inlineStr">
        <is>
          <t>m.reece@hallamconstruction.co.uk</t>
        </is>
      </c>
      <c r="E6" s="11" t="inlineStr">
        <is>
          <t>Skip needed Parkway Phase 2 Tuesday</t>
        </is>
      </c>
      <c r="F6" s="11" t="inlineStr">
        <is>
          <t>Booking</t>
        </is>
      </c>
      <c r="G6" s="11" t="inlineStr">
        <is>
          <t>ACC-0001</t>
        </is>
      </c>
      <c r="H6" s="11" t="inlineStr"/>
      <c r="I6" s="11" t="inlineStr">
        <is>
          <t>S9 4WG</t>
        </is>
      </c>
      <c r="J6" s="11" t="inlineStr">
        <is>
          <t>07700 900112</t>
        </is>
      </c>
      <c r="K6" s="11" t="inlineStr">
        <is>
          <t>8yd Skip</t>
        </is>
      </c>
      <c r="L6" s="13" t="n">
        <v>46238</v>
      </c>
      <c r="M6" s="17" t="n">
        <v>1</v>
      </c>
      <c r="N6" s="11" t="inlineStr">
        <is>
          <t>02_Inbox\Email\2026-08-04\EML-000117</t>
        </is>
      </c>
      <c r="O6" s="11" t="inlineStr">
        <is>
          <t>00000000A1B2...</t>
        </is>
      </c>
      <c r="P6" s="11" t="inlineStr">
        <is>
          <t>Yes</t>
        </is>
      </c>
      <c r="Q6" s="12" t="n">
        <v>46238.38333333333</v>
      </c>
      <c r="R6" s="11" t="inlineStr">
        <is>
          <t>Converted to JOB-1042</t>
        </is>
      </c>
      <c r="S6" s="16" t="inlineStr">
        <is>
          <t>Morning - can we get an 8 yard on Parkway Phase 2 for Tuesday please...</t>
        </is>
      </c>
    </row>
  </sheetData>
  <dataValidations count="2">
    <dataValidation sqref="F6:F2000" showDropDown="0" showInputMessage="0" showErrorMessage="1" allowBlank="1" errorTitle="Not on the list" error="Pick one of the EmailCategory options. If you genuinely need a new one, add it on the _Lists sheet first." type="list">
      <formula1>=lst_EmailCategory</formula1>
    </dataValidation>
    <dataValidation sqref="P6:P2000" showDropDown="0" showInputMessage="0" showErrorMessage="1" allowBlank="1" errorTitle="Not on the list" error="Pick one of the YesNo options. If you genuinely need a new one, add it on the _Lists sheet first." type="list">
      <formula1>=lst_YesNo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2" customWidth="1" min="4" max="4"/>
    <col width="12" customWidth="1" min="5" max="5"/>
    <col width="12" customWidth="1" min="6" max="6"/>
    <col width="46" customWidth="1" min="7" max="7"/>
    <col width="14" customWidth="1" min="8" max="8"/>
  </cols>
  <sheetData>
    <row r="1">
      <c r="A1" s="9" t="inlineStr">
        <is>
          <t>Generated Documents Log</t>
        </is>
      </c>
    </row>
    <row r="2">
      <c r="A2" s="8" t="inlineStr">
        <is>
          <t>Every Word/PDF the platform produced, so a document can always be traced back to its data.</t>
        </is>
      </c>
    </row>
    <row r="3">
      <c r="A3" s="8" t="inlineStr">
        <is>
          <t>Reference: ISO 9001 7.5.3</t>
        </is>
      </c>
    </row>
    <row r="5" ht="30" customHeight="1">
      <c r="A5" s="10" t="inlineStr">
        <is>
          <t>IssueID *</t>
        </is>
      </c>
      <c r="B5" s="10" t="inlineStr">
        <is>
          <t>GeneratedOn *</t>
        </is>
      </c>
      <c r="C5" s="10" t="inlineStr">
        <is>
          <t>TemplateName *</t>
        </is>
      </c>
      <c r="D5" s="10" t="inlineStr">
        <is>
          <t>DocType</t>
        </is>
      </c>
      <c r="E5" s="10" t="inlineStr">
        <is>
          <t>JobID</t>
        </is>
      </c>
      <c r="F5" s="10" t="inlineStr">
        <is>
          <t>CustomerID</t>
        </is>
      </c>
      <c r="G5" s="10" t="inlineStr">
        <is>
          <t>FilePath</t>
        </is>
      </c>
      <c r="H5" s="10" t="inlineStr">
        <is>
          <t>GeneratedBy</t>
        </is>
      </c>
    </row>
    <row r="6" ht="30" customHeight="1">
      <c r="A6" s="11" t="inlineStr">
        <is>
          <t>DOC-001204</t>
        </is>
      </c>
      <c r="B6" s="12" t="n">
        <v>46240.66805555556</v>
      </c>
      <c r="C6" s="11" t="inlineStr">
        <is>
          <t>WasteTransferNote.docx</t>
        </is>
      </c>
      <c r="D6" s="11" t="inlineStr">
        <is>
          <t>Waste Transfer Note</t>
        </is>
      </c>
      <c r="E6" s="11" t="inlineStr">
        <is>
          <t>JOB-1042</t>
        </is>
      </c>
      <c r="F6" s="11" t="inlineStr">
        <is>
          <t>ACC-0001</t>
        </is>
      </c>
      <c r="G6" s="11" t="inlineStr">
        <is>
          <t>04_Documents\Jobs\JOB-1042\WTN-004411.pdf</t>
        </is>
      </c>
      <c r="H6" s="11" t="inlineStr">
        <is>
          <t>JW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9AAFA3"/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1" customWidth="1" min="4" max="4"/>
    <col width="14" customWidth="1" min="5" max="5"/>
    <col width="22" customWidth="1" min="6" max="6"/>
    <col width="19" customWidth="1" min="7" max="7"/>
    <col width="17" customWidth="1" min="8" max="8"/>
    <col width="14" customWidth="1" min="9" max="9"/>
    <col width="29" customWidth="1" min="10" max="10"/>
    <col width="14" customWidth="1" min="11" max="11"/>
  </cols>
  <sheetData>
    <row r="1">
      <c r="A1" s="9" t="inlineStr">
        <is>
          <t>Validation pick lists</t>
        </is>
      </c>
    </row>
    <row r="2" ht="28" customHeight="1">
      <c r="A2" s="24" t="inlineStr">
        <is>
          <t>These columns drive every dropdown in this workbook. To add an option, insert a row INSIDE an existing block (right-click a cell in the middle of the list &gt; Insert &gt; Entire row) so the named range grows with it. Do not add to the bottom - a name added below the block is not picked up.</t>
        </is>
      </c>
    </row>
    <row r="4">
      <c r="A4" s="6" t="inlineStr">
        <is>
          <t>ContainerType</t>
        </is>
      </c>
      <c r="B4" s="6" t="inlineStr">
        <is>
          <t>Direction</t>
        </is>
      </c>
      <c r="C4" s="6" t="inlineStr">
        <is>
          <t>DocStatus</t>
        </is>
      </c>
      <c r="D4" s="6" t="inlineStr">
        <is>
          <t>EmailCategory</t>
        </is>
      </c>
      <c r="E4" s="6" t="inlineStr">
        <is>
          <t>InvoiceStatus</t>
        </is>
      </c>
      <c r="F4" s="6" t="inlineStr">
        <is>
          <t>JobStatus</t>
        </is>
      </c>
      <c r="G4" s="6" t="inlineStr">
        <is>
          <t>MovementType</t>
        </is>
      </c>
      <c r="H4" s="6" t="inlineStr">
        <is>
          <t>ServiceType</t>
        </is>
      </c>
      <c r="I4" s="6" t="inlineStr">
        <is>
          <t>UOM</t>
        </is>
      </c>
      <c r="J4" s="6" t="inlineStr">
        <is>
          <t>WTNDocType</t>
        </is>
      </c>
      <c r="K4" s="6" t="inlineStr">
        <is>
          <t>YesNo</t>
        </is>
      </c>
    </row>
    <row r="5">
      <c r="A5" s="25" t="inlineStr">
        <is>
          <t>2yd Skip</t>
        </is>
      </c>
      <c r="B5" s="25" t="inlineStr">
        <is>
          <t>In</t>
        </is>
      </c>
      <c r="C5" s="25" t="inlineStr">
        <is>
          <t>Draft</t>
        </is>
      </c>
      <c r="D5" s="25" t="inlineStr">
        <is>
          <t>Booking</t>
        </is>
      </c>
      <c r="E5" s="25" t="inlineStr">
        <is>
          <t>Draft</t>
        </is>
      </c>
      <c r="F5" s="25" t="inlineStr">
        <is>
          <t>Enquiry</t>
        </is>
      </c>
      <c r="G5" s="25" t="inlineStr">
        <is>
          <t>Delivered</t>
        </is>
      </c>
      <c r="H5" s="25" t="inlineStr">
        <is>
          <t>Delivery</t>
        </is>
      </c>
      <c r="I5" s="25" t="inlineStr">
        <is>
          <t>Job</t>
        </is>
      </c>
      <c r="J5" s="25" t="inlineStr">
        <is>
          <t>Waste Transfer Note</t>
        </is>
      </c>
      <c r="K5" s="25" t="inlineStr">
        <is>
          <t>Yes</t>
        </is>
      </c>
    </row>
    <row r="6">
      <c r="A6" s="25" t="inlineStr">
        <is>
          <t>4yd Skip</t>
        </is>
      </c>
      <c r="B6" s="25" t="inlineStr">
        <is>
          <t>Out</t>
        </is>
      </c>
      <c r="C6" s="25" t="inlineStr">
        <is>
          <t>In Review</t>
        </is>
      </c>
      <c r="D6" s="25" t="inlineStr">
        <is>
          <t>Enquiry</t>
        </is>
      </c>
      <c r="E6" s="25" t="inlineStr">
        <is>
          <t>Approved</t>
        </is>
      </c>
      <c r="F6" s="25" t="inlineStr">
        <is>
          <t>Quoted</t>
        </is>
      </c>
      <c r="G6" s="25" t="inlineStr">
        <is>
          <t>Exchanged Out</t>
        </is>
      </c>
      <c r="H6" s="25" t="inlineStr">
        <is>
          <t>Exchange</t>
        </is>
      </c>
      <c r="I6" s="25" t="inlineStr">
        <is>
          <t>Tonne</t>
        </is>
      </c>
      <c r="J6" s="25" t="inlineStr">
        <is>
          <t>Season Ticket (Annual WTN)</t>
        </is>
      </c>
      <c r="K6" s="25" t="inlineStr">
        <is>
          <t>No</t>
        </is>
      </c>
    </row>
    <row r="7">
      <c r="A7" s="25" t="inlineStr">
        <is>
          <t>6yd Skip</t>
        </is>
      </c>
      <c r="C7" s="25" t="inlineStr">
        <is>
          <t>Issued</t>
        </is>
      </c>
      <c r="D7" s="25" t="inlineStr">
        <is>
          <t>Quote Request</t>
        </is>
      </c>
      <c r="E7" s="25" t="inlineStr">
        <is>
          <t>Exported</t>
        </is>
      </c>
      <c r="F7" s="25" t="inlineStr">
        <is>
          <t>Booked</t>
        </is>
      </c>
      <c r="G7" s="25" t="inlineStr">
        <is>
          <t>Exchanged In</t>
        </is>
      </c>
      <c r="H7" s="25" t="inlineStr">
        <is>
          <t>Collection</t>
        </is>
      </c>
      <c r="I7" s="25" t="inlineStr">
        <is>
          <t>Day</t>
        </is>
      </c>
      <c r="J7" s="25" t="inlineStr">
        <is>
          <t>Hazardous Consignment Note</t>
        </is>
      </c>
    </row>
    <row r="8">
      <c r="A8" s="25" t="inlineStr">
        <is>
          <t>8yd Skip</t>
        </is>
      </c>
      <c r="C8" s="25" t="inlineStr">
        <is>
          <t>Superseded</t>
        </is>
      </c>
      <c r="D8" s="25" t="inlineStr">
        <is>
          <t>Weighbridge Ticket</t>
        </is>
      </c>
      <c r="E8" s="25" t="inlineStr">
        <is>
          <t>Invoiced</t>
        </is>
      </c>
      <c r="F8" s="25" t="inlineStr">
        <is>
          <t>Allocated</t>
        </is>
      </c>
      <c r="G8" s="25" t="inlineStr">
        <is>
          <t>Collected</t>
        </is>
      </c>
      <c r="H8" s="25" t="inlineStr">
        <is>
          <t>Wait and Load</t>
        </is>
      </c>
      <c r="I8" s="25" t="inlineStr">
        <is>
          <t>Load</t>
        </is>
      </c>
    </row>
    <row r="9">
      <c r="A9" s="25" t="inlineStr">
        <is>
          <t>12yd Skip</t>
        </is>
      </c>
      <c r="C9" s="25" t="inlineStr">
        <is>
          <t>Withdrawn</t>
        </is>
      </c>
      <c r="D9" s="25" t="inlineStr">
        <is>
          <t>Invoice Query</t>
        </is>
      </c>
      <c r="E9" s="25" t="inlineStr">
        <is>
          <t>Paid</t>
        </is>
      </c>
      <c r="F9" s="25" t="inlineStr">
        <is>
          <t>On Site</t>
        </is>
      </c>
      <c r="G9" s="25" t="inlineStr">
        <is>
          <t>Returned to Yard</t>
        </is>
      </c>
      <c r="H9" s="25" t="inlineStr">
        <is>
          <t>Tip and Return</t>
        </is>
      </c>
      <c r="I9" s="25" t="inlineStr">
        <is>
          <t>Item</t>
        </is>
      </c>
    </row>
    <row r="10">
      <c r="A10" s="25" t="inlineStr">
        <is>
          <t>14yd Skip</t>
        </is>
      </c>
      <c r="D10" s="25" t="inlineStr">
        <is>
          <t>Complaint</t>
        </is>
      </c>
      <c r="E10" s="25" t="inlineStr">
        <is>
          <t>Credited</t>
        </is>
      </c>
      <c r="F10" s="25" t="inlineStr">
        <is>
          <t>Awaiting Collection</t>
        </is>
      </c>
      <c r="G10" s="25" t="inlineStr">
        <is>
          <t>Transferred</t>
        </is>
      </c>
      <c r="H10" s="25" t="inlineStr">
        <is>
          <t>Muckaway</t>
        </is>
      </c>
      <c r="I10" s="25" t="inlineStr">
        <is>
          <t>Hour</t>
        </is>
      </c>
    </row>
    <row r="11">
      <c r="A11" s="25" t="inlineStr">
        <is>
          <t>20yd RoRo</t>
        </is>
      </c>
      <c r="D11" s="25" t="inlineStr">
        <is>
          <t>Supplier</t>
        </is>
      </c>
      <c r="E11" s="25" t="inlineStr">
        <is>
          <t>Disputed</t>
        </is>
      </c>
      <c r="F11" s="25" t="inlineStr">
        <is>
          <t>Completed</t>
        </is>
      </c>
      <c r="G11" s="25" t="inlineStr">
        <is>
          <t>Off Hire</t>
        </is>
      </c>
      <c r="H11" s="25" t="inlineStr">
        <is>
          <t>Aborted Visit</t>
        </is>
      </c>
      <c r="I11" s="25" t="inlineStr">
        <is>
          <t>Mile</t>
        </is>
      </c>
    </row>
    <row r="12">
      <c r="A12" s="25" t="inlineStr">
        <is>
          <t>35yd RoRo</t>
        </is>
      </c>
      <c r="D12" s="25" t="inlineStr">
        <is>
          <t>Compliance</t>
        </is>
      </c>
      <c r="F12" s="25" t="inlineStr">
        <is>
          <t>Invoiced</t>
        </is>
      </c>
    </row>
    <row r="13">
      <c r="A13" s="25" t="inlineStr">
        <is>
          <t>40yd RoRo</t>
        </is>
      </c>
      <c r="D13" s="25" t="inlineStr">
        <is>
          <t>Internal</t>
        </is>
      </c>
      <c r="F13" s="25" t="inlineStr">
        <is>
          <t>Cancelled</t>
        </is>
      </c>
    </row>
    <row r="14">
      <c r="A14" s="25" t="inlineStr">
        <is>
          <t>Front End Loader</t>
        </is>
      </c>
      <c r="D14" s="25" t="inlineStr">
        <is>
          <t>Spam</t>
        </is>
      </c>
      <c r="F14" s="25" t="inlineStr">
        <is>
          <t>Aborted</t>
        </is>
      </c>
    </row>
    <row r="15">
      <c r="A15" s="25" t="inlineStr">
        <is>
          <t>Wheelie Bin 1100L</t>
        </is>
      </c>
      <c r="D15" s="25" t="inlineStr">
        <is>
          <t>Unclassified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Acorn Ops platform build</dc:creator>
  <dc:title xmlns:dc="http://purl.org/dc/elements/1.1/">Acorn Recyclers - Operations</dc:title>
  <dc:description xmlns:dc="http://purl.org/dc/elements/1.1/">Day-to-day transactions: jobs, movements, weighbridge tickets, duty-of-care notes, billing lines.</dc:description>
  <dcterms:created xmlns:dcterms="http://purl.org/dc/terms/" xmlns:xsi="http://www.w3.org/2001/XMLSchema-instance" xsi:type="dcterms:W3CDTF">2026-08-17T18:10:17Z</dcterms:created>
  <dcterms:modified xmlns:dcterms="http://purl.org/dc/terms/" xmlns:xsi="http://www.w3.org/2001/XMLSchema-instance" xsi:type="dcterms:W3CDTF">2026-08-17T18:10:17Z</dcterms:modified>
</cp:coreProperties>
</file>