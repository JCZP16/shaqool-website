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uide" sheetId="1" state="visible" r:id="rId1"/>
    <sheet xmlns:r="http://schemas.openxmlformats.org/officeDocument/2006/relationships" name="DocRegister" sheetId="2" state="visible" r:id="rId2"/>
    <sheet xmlns:r="http://schemas.openxmlformats.org/officeDocument/2006/relationships" name="NCR" sheetId="3" state="visible" r:id="rId3"/>
    <sheet xmlns:r="http://schemas.openxmlformats.org/officeDocument/2006/relationships" name="Audits" sheetId="4" state="visible" r:id="rId4"/>
    <sheet xmlns:r="http://schemas.openxmlformats.org/officeDocument/2006/relationships" name="Training" sheetId="5" state="visible" r:id="rId5"/>
    <sheet xmlns:r="http://schemas.openxmlformats.org/officeDocument/2006/relationships" name="RequiredTraining" sheetId="6" state="visible" r:id="rId6"/>
    <sheet xmlns:r="http://schemas.openxmlformats.org/officeDocument/2006/relationships" name="Calibration" sheetId="7" state="visible" r:id="rId7"/>
    <sheet xmlns:r="http://schemas.openxmlformats.org/officeDocument/2006/relationships" name="Permits" sheetId="8" state="visible" r:id="rId8"/>
    <sheet xmlns:r="http://schemas.openxmlformats.org/officeDocument/2006/relationships" name="Incidents" sheetId="9" state="visible" r:id="rId9"/>
    <sheet xmlns:r="http://schemas.openxmlformats.org/officeDocument/2006/relationships" name="LegalRegister" sheetId="10" state="visible" r:id="rId10"/>
    <sheet xmlns:r="http://schemas.openxmlformats.org/officeDocument/2006/relationships" name="Objectives" sheetId="11" state="visible" r:id="rId11"/>
    <sheet xmlns:r="http://schemas.openxmlformats.org/officeDocument/2006/relationships" name="RisksOpps" sheetId="12" state="visible" r:id="rId12"/>
    <sheet xmlns:r="http://schemas.openxmlformats.org/officeDocument/2006/relationships" name="MgmtReview" sheetId="13" state="visible" r:id="rId13"/>
    <sheet xmlns:r="http://schemas.openxmlformats.org/officeDocument/2006/relationships" name="SupplierEval" sheetId="14" state="visible" r:id="rId14"/>
    <sheet xmlns:r="http://schemas.openxmlformats.org/officeDocument/2006/relationships" name="_Lists" sheetId="15" state="visible" r:id="rId15"/>
  </sheets>
  <definedNames>
    <definedName name="lst_AuditType">'_Lists'!$A$5:$A$10</definedName>
    <definedName name="lst_Compliance">'_Lists'!$B$5:$B$9</definedName>
    <definedName name="lst_DocStatus">'_Lists'!$C$5:$C$9</definedName>
    <definedName name="lst_DocType">'_Lists'!$D$5:$D$13</definedName>
    <definedName name="lst_IncidentType">'_Lists'!$E$5:$E$13</definedName>
    <definedName name="lst_LikertScore">'_Lists'!$F$5:$F$9</definedName>
    <definedName name="lst_NCRSource">'_Lists'!$G$5:$G$13</definedName>
    <definedName name="lst_NCRType">'_Lists'!$H$5:$H$9</definedName>
    <definedName name="lst_OpenClosed">'_Lists'!$I$5:$I$9</definedName>
    <definedName name="lst_PermitType">'_Lists'!$J$5:$J$12</definedName>
    <definedName name="lst_RecordStatus">'_Lists'!$K$5:$K$7</definedName>
    <definedName name="lst_RiskType">'_Lists'!$L$5:$L$6</definedName>
    <definedName name="lst_Severity">'_Lists'!$M$5:$M$7</definedName>
    <definedName name="lst_Standard">'_Lists'!$N$5:$N$10</definedName>
    <definedName name="lst_YesNo">'_Lists'!$O$5:$O$6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;-#,##0;&quot;-&quot;"/>
    <numFmt numFmtId="167" formatCode="£#,##0.00;[Red]-£#,##0.00;&quot;-&quot;"/>
    <numFmt numFmtId="168" formatCode="yyyy-mm-dd h:mm:ss"/>
    <numFmt numFmtId="169" formatCode="dd/mm/yyyy hh:mm"/>
    <numFmt numFmtId="170" formatCode="#,##0.00;-#,##0.00;&quot;-&quot;"/>
    <numFmt numFmtId="171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B2A22"/>
      <sz val="14"/>
    </font>
    <font>
      <name val="Arial"/>
      <i val="1"/>
      <color rgb="005A6B62"/>
      <sz val="9"/>
    </font>
    <font>
      <name val="Arial"/>
      <b val="1"/>
      <color rgb="00FFFFFF"/>
      <sz val="10"/>
    </font>
    <font>
      <name val="Arial"/>
      <i val="1"/>
      <color rgb="007A5A16"/>
      <sz val="10"/>
    </font>
    <font>
      <name val="Arial"/>
      <color rgb="001B2A22"/>
      <sz val="10"/>
    </font>
    <font>
      <name val="Arial"/>
      <b val="1"/>
      <color rgb="001B2A22"/>
      <sz val="18"/>
    </font>
    <font>
      <name val="Arial"/>
      <color rgb="005A6B62"/>
      <sz val="11"/>
    </font>
    <font>
      <name val="Arial"/>
      <b val="1"/>
      <color rgb="001B2A22"/>
      <sz val="12"/>
    </font>
    <font>
      <name val="Arial"/>
      <b val="1"/>
      <color rgb="001B2A22"/>
      <sz val="10"/>
    </font>
  </fonts>
  <fills count="5">
    <fill>
      <patternFill/>
    </fill>
    <fill>
      <patternFill patternType="gray125"/>
    </fill>
    <fill>
      <patternFill patternType="solid">
        <fgColor rgb="002F4A3C"/>
      </patternFill>
    </fill>
    <fill>
      <patternFill patternType="solid">
        <fgColor rgb="00FFF6E5"/>
      </patternFill>
    </fill>
    <fill>
      <patternFill patternType="solid">
        <fgColor rgb="00EDF1EE"/>
      </patternFill>
    </fill>
  </fills>
  <borders count="2">
    <border>
      <left/>
      <right/>
      <top/>
      <bottom/>
      <diagonal/>
    </border>
    <border>
      <left style="thin">
        <color rgb="00C7D2CB"/>
      </left>
      <right style="thin">
        <color rgb="00C7D2CB"/>
      </right>
      <top style="thin">
        <color rgb="00C7D2CB"/>
      </top>
      <bottom style="thin">
        <color rgb="00C7D2C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5" fontId="5" fillId="4" borderId="1" pivotButton="0" quotePrefix="0" xfId="0"/>
    <xf numFmtId="0" fontId="4" fillId="3" borderId="1" applyAlignment="1" pivotButton="0" quotePrefix="0" xfId="0">
      <alignment vertical="top" wrapText="1"/>
    </xf>
    <xf numFmtId="166" fontId="5" fillId="4" borderId="1" pivotButton="0" quotePrefix="0" xfId="0"/>
    <xf numFmtId="167" fontId="4" fillId="3" borderId="1" pivotButton="0" quotePrefix="0" xfId="0"/>
    <xf numFmtId="169" fontId="4" fillId="3" borderId="1" pivotButton="0" quotePrefix="0" xfId="0"/>
    <xf numFmtId="170" fontId="4" fillId="3" borderId="1" pivotButton="0" quotePrefix="0" xfId="0"/>
    <xf numFmtId="171" fontId="5" fillId="4" borderId="1" pivotButton="0" quotePrefix="0" xfId="0"/>
    <xf numFmtId="0" fontId="5" fillId="4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8C1C1C"/>
        <sz val="10"/>
      </font>
      <fill>
        <patternFill patternType="solid">
          <fgColor rgb="00F8D2D2"/>
        </patternFill>
      </fill>
    </dxf>
    <dxf>
      <font>
        <name val="Arial"/>
        <color rgb="007A5100"/>
        <sz val="10"/>
      </font>
      <fill>
        <patternFill patternType="solid">
          <fgColor rgb="00FCEB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Acorn Ops</author>
  </authors>
  <commentList>
    <comment ref="A5" authorId="0" shapeId="0">
      <text>
        <t>Required. e.g. AR-QP-04</t>
      </text>
    </comment>
    <comment ref="B5" authorId="0" shapeId="0">
      <text>
        <t>Required.</t>
      </text>
    </comment>
    <comment ref="C5" authorId="0" shapeId="0">
      <text>
        <t>Required. Pick list: DocType.</t>
      </text>
    </comment>
    <comment ref="D5" authorId="0" shapeId="0">
      <text>
        <t>Pick list: Standard.</t>
      </text>
    </comment>
    <comment ref="F5" authorId="0" shapeId="0">
      <text>
        <t>Required.</t>
      </text>
    </comment>
    <comment ref="G5" authorId="0" shapeId="0">
      <text>
        <t>Required.</t>
      </text>
    </comment>
    <comment ref="H5" authorId="0" shapeId="0">
      <text>
        <t>Required.</t>
      </text>
    </comment>
    <comment ref="J5" authorId="0" shapeId="0">
      <text>
        <t>Calculated - do not type here.</t>
      </text>
    </comment>
    <comment ref="K5" authorId="0" shapeId="0">
      <text>
        <t>Required. Pick list: DocStatus.</t>
      </text>
    </comment>
    <comment ref="L5" authorId="0" shapeId="0">
      <text>
        <t>Path relative to the AcornOps root.</t>
      </text>
    </comment>
  </commentList>
</comments>
</file>

<file path=xl/comments/comment2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</t>
      </text>
    </comment>
    <comment ref="D5" authorId="0" shapeId="0">
      <text>
        <t>Required. Pick list: NCRSource.</t>
      </text>
    </comment>
    <comment ref="E5" authorId="0" shapeId="0">
      <text>
        <t>Required. Pick list: NCRType.</t>
      </text>
    </comment>
    <comment ref="F5" authorId="0" shapeId="0">
      <text>
        <t>Required. Pick list: Severity.</t>
      </text>
    </comment>
    <comment ref="G5" authorId="0" shapeId="0">
      <text>
        <t>Required.</t>
      </text>
    </comment>
    <comment ref="K5" authorId="0" shapeId="0">
      <text>
        <t>Say why it happened, not what happened.</t>
      </text>
    </comment>
    <comment ref="M5" authorId="0" shapeId="0">
      <text>
        <t>Required.</t>
      </text>
    </comment>
    <comment ref="N5" authorId="0" shapeId="0">
      <text>
        <t>Required.</t>
      </text>
    </comment>
    <comment ref="P5" authorId="0" shapeId="0">
      <text>
        <t>Verified how, by whom, when.</t>
      </text>
    </comment>
    <comment ref="Q5" authorId="0" shapeId="0">
      <text>
        <t>Required. Pick list: OpenClosed.</t>
      </text>
    </comment>
    <comment ref="R5" authorId="0" shapeId="0">
      <text>
        <t>Calculated - do not type here.</t>
      </text>
    </comment>
    <comment ref="S5" authorId="0" shapeId="0">
      <text>
        <t>Calculated - do not type here.</t>
      </text>
    </comment>
  </commentList>
</comments>
</file>

<file path=xl/comments/comment3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Pick list: AuditType.</t>
      </text>
    </comment>
    <comment ref="C5" authorId="0" shapeId="0">
      <text>
        <t>Required. Pick list: Standard.</t>
      </text>
    </comment>
    <comment ref="D5" authorId="0" shapeId="0">
      <text>
        <t>Required.</t>
      </text>
    </comment>
    <comment ref="E5" authorId="0" shapeId="0">
      <text>
        <t>Required.</t>
      </text>
    </comment>
    <comment ref="M5" authorId="0" shapeId="0">
      <text>
        <t>Required. Pick list: OpenClosed.</t>
      </text>
    </comment>
  </commentList>
</comments>
</file>

<file path=xl/comments/comment4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D5" authorId="0" shapeId="0">
      <text>
        <t>Required. Spell it exactly as in tblRequiredTraining.</t>
      </text>
    </comment>
    <comment ref="F5" authorId="0" shapeId="0">
      <text>
        <t>Required.</t>
      </text>
    </comment>
    <comment ref="G5" authorId="0" shapeId="0">
      <text>
        <t>Blank = does not expire.</t>
      </text>
    </comment>
    <comment ref="H5" authorId="0" shapeId="0">
      <text>
        <t>Calculated - do not type here.</t>
      </text>
    </comment>
  </commentList>
</comments>
</file>

<file path=xl/comments/comment5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Must match tblStaff.Role exactly.</t>
      </text>
    </comment>
    <comment ref="C5" authorId="0" shapeId="0">
      <text>
        <t>Required.</t>
      </text>
    </comment>
    <comment ref="D5" authorId="0" shapeId="0">
      <text>
        <t>Required. Pick list: YesNo.</t>
      </text>
    </comment>
  </commentList>
</comments>
</file>

<file path=xl/comments/comment6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F5" authorId="0" shapeId="0">
      <text>
        <t>Required.</t>
      </text>
    </comment>
    <comment ref="G5" authorId="0" shapeId="0">
      <text>
        <t>Required.</t>
      </text>
    </comment>
    <comment ref="H5" authorId="0" shapeId="0">
      <text>
        <t>Calculated - do not type here.</t>
      </text>
    </comment>
    <comment ref="J5" authorId="0" shapeId="0">
      <text>
        <t>Pick list: RecordStatus.</t>
      </text>
    </comment>
  </commentList>
</comments>
</file>

<file path=xl/comments/comment7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Pick list: PermitType.</t>
      </text>
    </comment>
    <comment ref="C5" authorId="0" shapeId="0">
      <text>
        <t>Required.</t>
      </text>
    </comment>
    <comment ref="G5" authorId="0" shapeId="0">
      <text>
        <t>Blank = does not expire, but still verify annually.</t>
      </text>
    </comment>
    <comment ref="H5" authorId="0" shapeId="0">
      <text>
        <t>How far ahead the alert should fire. Default 90.</t>
      </text>
    </comment>
    <comment ref="K5" authorId="0" shapeId="0">
      <text>
        <t>Required. Pick list: RecordStatus.</t>
      </text>
    </comment>
  </commentList>
</comments>
</file>

<file path=xl/comments/comment8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 Pick list: IncidentType.</t>
      </text>
    </comment>
    <comment ref="D5" authorId="0" shapeId="0">
      <text>
        <t>Required.</t>
      </text>
    </comment>
    <comment ref="F5" authorId="0" shapeId="0">
      <text>
        <t>Required.</t>
      </text>
    </comment>
    <comment ref="G5" authorId="0" shapeId="0">
      <text>
        <t>Required. Pick list: YesNo.</t>
      </text>
    </comment>
    <comment ref="P5" authorId="0" shapeId="0">
      <text>
        <t>Required. Pick list: OpenClosed.</t>
      </text>
    </comment>
  </commentList>
</comments>
</file>

<file path=xl/comments/comment9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</t>
      </text>
    </comment>
    <comment ref="D5" authorId="0" shapeId="0">
      <text>
        <t>Required.</t>
      </text>
    </comment>
    <comment ref="E5" authorId="0" shapeId="0">
      <text>
        <t>Required.</t>
      </text>
    </comment>
    <comment ref="F5" authorId="0" shapeId="0">
      <text>
        <t>Point at a DocID, a register or a file path.</t>
      </text>
    </comment>
    <comment ref="H5" authorId="0" shapeId="0">
      <text>
        <t>Required.</t>
      </text>
    </comment>
    <comment ref="J5" authorId="0" shapeId="0">
      <text>
        <t>Calculated - do not type here.</t>
      </text>
    </comment>
    <comment ref="K5" authorId="0" shapeId="0">
      <text>
        <t>Required. Pick list: Compliance.</t>
      </text>
    </comment>
  </commentList>
</comments>
</file>

<file path=xl/comments/comment10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Pick list: Standard.</t>
      </text>
    </comment>
    <comment ref="C5" authorId="0" shapeId="0">
      <text>
        <t>Required.</t>
      </text>
    </comment>
    <comment ref="D5" authorId="0" shapeId="0">
      <text>
        <t>Required.</t>
      </text>
    </comment>
    <comment ref="F5" authorId="0" shapeId="0">
      <text>
        <t>Required.</t>
      </text>
    </comment>
    <comment ref="H5" authorId="0" shapeId="0">
      <text>
        <t>Calculated - do not type here.</t>
      </text>
    </comment>
    <comment ref="I5" authorId="0" shapeId="0">
      <text>
        <t>Required.</t>
      </text>
    </comment>
    <comment ref="J5" authorId="0" shapeId="0">
      <text>
        <t>Required.</t>
      </text>
    </comment>
    <comment ref="K5" authorId="0" shapeId="0">
      <text>
        <t>Required. Pick list: OpenClosed.</t>
      </text>
    </comment>
  </commentList>
</comments>
</file>

<file path=xl/comments/comment11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Pick list: RiskType.</t>
      </text>
    </comment>
    <comment ref="C5" authorId="0" shapeId="0">
      <text>
        <t>Required. Operational / Environmental / H&amp;S / Commercial / Legal</t>
      </text>
    </comment>
    <comment ref="D5" authorId="0" shapeId="0">
      <text>
        <t>Required.</t>
      </text>
    </comment>
    <comment ref="E5" authorId="0" shapeId="0">
      <text>
        <t>Required. Pick list: LikertScore.</t>
      </text>
    </comment>
    <comment ref="F5" authorId="0" shapeId="0">
      <text>
        <t>Required. Pick list: LikertScore.</t>
      </text>
    </comment>
    <comment ref="G5" authorId="0" shapeId="0">
      <text>
        <t>Calculated - do not type here.</t>
      </text>
    </comment>
    <comment ref="H5" authorId="0" shapeId="0">
      <text>
        <t>Required.</t>
      </text>
    </comment>
    <comment ref="I5" authorId="0" shapeId="0">
      <text>
        <t>Pick list: LikertScore.</t>
      </text>
    </comment>
    <comment ref="J5" authorId="0" shapeId="0">
      <text>
        <t>Pick list: LikertScore.</t>
      </text>
    </comment>
    <comment ref="K5" authorId="0" shapeId="0">
      <text>
        <t>Calculated - do not type here.</t>
      </text>
    </comment>
    <comment ref="L5" authorId="0" shapeId="0">
      <text>
        <t>Required.</t>
      </text>
    </comment>
    <comment ref="M5" authorId="0" shapeId="0">
      <text>
        <t>Required.</t>
      </text>
    </comment>
    <comment ref="N5" authorId="0" shapeId="0">
      <text>
        <t>Required. Pick list: OpenClosed.</t>
      </text>
    </comment>
  </commentList>
</comments>
</file>

<file path=xl/comments/comment12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</t>
      </text>
    </comment>
    <comment ref="D5" authorId="0" shapeId="0">
      <text>
        <t>Required.</t>
      </text>
    </comment>
    <comment ref="E5" authorId="0" shapeId="0">
      <text>
        <t>Required. Audit results, customer feedback, KPI performance, NCR status, risks, resources.</t>
      </text>
    </comment>
    <comment ref="F5" authorId="0" shapeId="0">
      <text>
        <t>Required.</t>
      </text>
    </comment>
  </commentList>
</comments>
</file>

<file path=xl/comments/comment13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D5" authorId="0" shapeId="0">
      <text>
        <t>Required.</t>
      </text>
    </comment>
    <comment ref="E5" authorId="0" shapeId="0">
      <text>
        <t>Required. Pick list: LikertScore.</t>
      </text>
    </comment>
    <comment ref="F5" authorId="0" shapeId="0">
      <text>
        <t>Required. Pick list: LikertScore.</t>
      </text>
    </comment>
    <comment ref="G5" authorId="0" shapeId="0">
      <text>
        <t>Required. Pick list: LikertScore. Licences, permits and insurance in date.</t>
      </text>
    </comment>
    <comment ref="H5" authorId="0" shapeId="0">
      <text>
        <t>Required. Pick list: LikertScore.</t>
      </text>
    </comment>
    <comment ref="I5" authorId="0" shapeId="0">
      <text>
        <t>Required. Pick list: LikertScore.</t>
      </text>
    </comment>
    <comment ref="J5" authorId="0" shapeId="0">
      <text>
        <t>Calculated - do not type here.</t>
      </text>
    </comment>
    <comment ref="K5" authorId="0" shapeId="0">
      <text>
        <t>Calculated - do not type here. 20+ approved, 14-19 provisional, below 14 goes back for review.</t>
      </text>
    </comment>
    <comment ref="L5" authorId="0" shapeId="0">
      <text>
        <t>Required.</t>
      </text>
    </comment>
  </commentList>
</comments>
</file>

<file path=xl/tables/table1.xml><?xml version="1.0" encoding="utf-8"?>
<table xmlns="http://schemas.openxmlformats.org/spreadsheetml/2006/main" id="1" name="tblDocRegister" displayName="tblDocRegister" ref="A5:N6" headerRowCount="1">
  <autoFilter ref="A5:N6"/>
  <tableColumns count="14">
    <tableColumn id="1" name="DocID *"/>
    <tableColumn id="2" name="DocTitle *"/>
    <tableColumn id="3" name="DocType *"/>
    <tableColumn id="4" name="Standard"/>
    <tableColumn id="5" name="ISOClause"/>
    <tableColumn id="6" name="Owner *"/>
    <tableColumn id="7" name="Revision *"/>
    <tableColumn id="8" name="IssueDate *"/>
    <tableColumn id="9" name="ReviewMonths"/>
    <tableColumn id="10" name="ReviewDue"/>
    <tableColumn id="11" name="Status *"/>
    <tableColumn id="12" name="Location"/>
    <tableColumn id="13" name="SupersededBy"/>
    <tableColumn id="14" name="Note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blNCR" displayName="tblNCR" ref="A5:S6" headerRowCount="1">
  <autoFilter ref="A5:S6"/>
  <tableColumns count="19">
    <tableColumn id="1" name="NCRID *"/>
    <tableColumn id="2" name="RaisedOn *"/>
    <tableColumn id="3" name="RaisedBy *"/>
    <tableColumn id="4" name="Source *"/>
    <tableColumn id="5" name="Type *"/>
    <tableColumn id="6" name="Severity *"/>
    <tableColumn id="7" name="Description *"/>
    <tableColumn id="8" name="LinkedJobID"/>
    <tableColumn id="9" name="LinkedCustomerID"/>
    <tableColumn id="10" name="ImmediateCorrection"/>
    <tableColumn id="11" name="RootCause"/>
    <tableColumn id="12" name="CorrectiveAction"/>
    <tableColumn id="13" name="ActionOwner *"/>
    <tableColumn id="14" name="DueDate *"/>
    <tableColumn id="15" name="ClosedOn"/>
    <tableColumn id="16" name="EffectivenessCheck"/>
    <tableColumn id="17" name="Status *"/>
    <tableColumn id="18" name="DaysOpen"/>
    <tableColumn id="19" name="Overdue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blAudits" displayName="tblAudits" ref="A5:M6" headerRowCount="1">
  <autoFilter ref="A5:M6"/>
  <tableColumns count="13">
    <tableColumn id="1" name="AuditID *"/>
    <tableColumn id="2" name="AuditType *"/>
    <tableColumn id="3" name="Standard *"/>
    <tableColumn id="4" name="Scope *"/>
    <tableColumn id="5" name="PlannedDate *"/>
    <tableColumn id="6" name="ActualDate"/>
    <tableColumn id="7" name="Auditor"/>
    <tableColumn id="8" name="Auditee"/>
    <tableColumn id="9" name="FindingsMajor"/>
    <tableColumn id="10" name="FindingsMinor"/>
    <tableColumn id="11" name="Observations"/>
    <tableColumn id="12" name="ReportPath"/>
    <tableColumn id="13" name="Status *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blTraining" displayName="tblTraining" ref="A5:J6" headerRowCount="1">
  <autoFilter ref="A5:J6"/>
  <tableColumns count="10">
    <tableColumn id="1" name="TrainingID *"/>
    <tableColumn id="2" name="StaffID *"/>
    <tableColumn id="3" name="StaffName"/>
    <tableColumn id="4" name="Course *"/>
    <tableColumn id="5" name="Provider"/>
    <tableColumn id="6" name="CompletedOn *"/>
    <tableColumn id="7" name="ValidMonths"/>
    <tableColumn id="8" name="ExpiresOn"/>
    <tableColumn id="9" name="CertificatePath"/>
    <tableColumn id="10" name="Cost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blRequiredTraining" displayName="tblRequiredTraining" ref="A5:F6" headerRowCount="1">
  <autoFilter ref="A5:F6"/>
  <tableColumns count="6">
    <tableColumn id="1" name="ReqID *"/>
    <tableColumn id="2" name="Role *"/>
    <tableColumn id="3" name="Course *"/>
    <tableColumn id="4" name="Mandatory *"/>
    <tableColumn id="5" name="RefreshMonths"/>
    <tableColumn id="6" name="Note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blCalibration" displayName="tblCalibration" ref="A5:J6" headerRowCount="1">
  <autoFilter ref="A5:J6"/>
  <tableColumns count="10">
    <tableColumn id="1" name="EquipmentID *"/>
    <tableColumn id="2" name="Description *"/>
    <tableColumn id="3" name="Location"/>
    <tableColumn id="4" name="SerialNo"/>
    <tableColumn id="5" name="Provider"/>
    <tableColumn id="6" name="LastCalibration *"/>
    <tableColumn id="7" name="FrequencyMonths *"/>
    <tableColumn id="8" name="NextDue"/>
    <tableColumn id="9" name="CertificatePath"/>
    <tableColumn id="10" name="Status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blPermits" displayName="tblPermits" ref="A5:L6" headerRowCount="1">
  <autoFilter ref="A5:L6"/>
  <tableColumns count="12">
    <tableColumn id="1" name="PermitID *"/>
    <tableColumn id="2" name="PermitType *"/>
    <tableColumn id="3" name="Reference *"/>
    <tableColumn id="4" name="Holder"/>
    <tableColumn id="5" name="IssuingBody"/>
    <tableColumn id="6" name="IssueDate"/>
    <tableColumn id="7" name="ExpiryDate"/>
    <tableColumn id="8" name="RenewalLeadDays"/>
    <tableColumn id="9" name="AnnualCost"/>
    <tableColumn id="10" name="DocumentPath"/>
    <tableColumn id="11" name="Status *"/>
    <tableColumn id="12" name="Notes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blIncidents" displayName="tblIncidents" ref="A5:P6" headerRowCount="1">
  <autoFilter ref="A5:P6"/>
  <tableColumns count="16">
    <tableColumn id="1" name="IncidentID *"/>
    <tableColumn id="2" name="IncidentDateTime *"/>
    <tableColumn id="3" name="Type *"/>
    <tableColumn id="4" name="Location *"/>
    <tableColumn id="5" name="PersonInvolved"/>
    <tableColumn id="6" name="Description *"/>
    <tableColumn id="7" name="RIDDORReportable *"/>
    <tableColumn id="8" name="RIDDORRef"/>
    <tableColumn id="9" name="ReportedOn"/>
    <tableColumn id="10" name="LostTimeDays"/>
    <tableColumn id="11" name="ImmediateAction"/>
    <tableColumn id="12" name="RootCause"/>
    <tableColumn id="13" name="ActionsTaken"/>
    <tableColumn id="14" name="LinkedNCRID"/>
    <tableColumn id="15" name="ClosedOn"/>
    <tableColumn id="16" name="Status *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blLegalRegister" displayName="tblLegalRegister" ref="A5:K6" headerRowCount="1">
  <autoFilter ref="A5:K6"/>
  <tableColumns count="11">
    <tableColumn id="1" name="RegID *"/>
    <tableColumn id="2" name="Legislation *"/>
    <tableColumn id="3" name="Applicability *"/>
    <tableColumn id="4" name="Requirement *"/>
    <tableColumn id="5" name="HowWeComply *"/>
    <tableColumn id="6" name="Evidence"/>
    <tableColumn id="7" name="Owner"/>
    <tableColumn id="8" name="LastReviewed *"/>
    <tableColumn id="9" name="ReviewMonths"/>
    <tableColumn id="10" name="NextReview"/>
    <tableColumn id="11" name="ComplianceStatus *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blObjectives" displayName="tblObjectives" ref="A5:L6" headerRowCount="1">
  <autoFilter ref="A5:L6"/>
  <tableColumns count="12">
    <tableColumn id="1" name="ObjID *"/>
    <tableColumn id="2" name="Standard *"/>
    <tableColumn id="3" name="Objective *"/>
    <tableColumn id="4" name="KPI *"/>
    <tableColumn id="5" name="Baseline"/>
    <tableColumn id="6" name="Target *"/>
    <tableColumn id="7" name="CurrentValue"/>
    <tableColumn id="8" name="Progress"/>
    <tableColumn id="9" name="TargetDate *"/>
    <tableColumn id="10" name="Owner *"/>
    <tableColumn id="11" name="Status *"/>
    <tableColumn id="12" name="ReviewNotes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blRisksOpps" displayName="tblRisksOpps" ref="A5:N6" headerRowCount="1">
  <autoFilter ref="A5:N6"/>
  <tableColumns count="14">
    <tableColumn id="1" name="RiskID *"/>
    <tableColumn id="2" name="Type *"/>
    <tableColumn id="3" name="Category *"/>
    <tableColumn id="4" name="Description *"/>
    <tableColumn id="5" name="Likelihood *"/>
    <tableColumn id="6" name="Impact *"/>
    <tableColumn id="7" name="GrossScore"/>
    <tableColumn id="8" name="Controls *"/>
    <tableColumn id="9" name="ResLikelihood"/>
    <tableColumn id="10" name="ResImpact"/>
    <tableColumn id="11" name="NetScore"/>
    <tableColumn id="12" name="Owner *"/>
    <tableColumn id="13" name="ReviewDate *"/>
    <tableColumn id="14" name="Status *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blMgmtReview" displayName="tblMgmtReview" ref="A5:I6" headerRowCount="1">
  <autoFilter ref="A5:I6"/>
  <tableColumns count="9">
    <tableColumn id="1" name="MRID *"/>
    <tableColumn id="2" name="ReviewDate *"/>
    <tableColumn id="3" name="Chair *"/>
    <tableColumn id="4" name="Attendees *"/>
    <tableColumn id="5" name="InputsCovered *"/>
    <tableColumn id="6" name="Decisions *"/>
    <tableColumn id="7" name="ActionsRaised"/>
    <tableColumn id="8" name="MinutesPath"/>
    <tableColumn id="9" name="NextReviewDu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id="13" name="tblSupplierEval" displayName="tblSupplierEval" ref="A5:N6" headerRowCount="1">
  <autoFilter ref="A5:N6"/>
  <tableColumns count="14">
    <tableColumn id="1" name="EvalID *"/>
    <tableColumn id="2" name="SupplierID *"/>
    <tableColumn id="3" name="SupplierName"/>
    <tableColumn id="4" name="EvalDate *"/>
    <tableColumn id="5" name="ScoreQuality *"/>
    <tableColumn id="6" name="ScoreDelivery *"/>
    <tableColumn id="7" name="ScoreCompliance *"/>
    <tableColumn id="8" name="ScorePrice *"/>
    <tableColumn id="9" name="ScoreHSE *"/>
    <tableColumn id="10" name="TotalScore"/>
    <tableColumn id="11" name="Outcome"/>
    <tableColumn id="12" name="Reviewer *"/>
    <tableColumn id="13" name="Comments"/>
    <tableColumn id="14" name="NextEvalDu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tabColor rgb="002F4A3C"/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88" customWidth="1" min="4" max="4"/>
  </cols>
  <sheetData>
    <row r="2">
      <c r="B2" s="1" t="inlineStr">
        <is>
          <t>Acorn Recyclers - Compliance</t>
        </is>
      </c>
    </row>
    <row r="3">
      <c r="B3" s="2" t="inlineStr">
        <is>
          <t>The ISO 9001 / 14001 / 45001 management system registers.</t>
        </is>
      </c>
    </row>
    <row r="5">
      <c r="B5" s="3" t="inlineStr">
        <is>
          <t>How to read these sheets</t>
        </is>
      </c>
    </row>
    <row r="6" ht="26" customHeight="1">
      <c r="B6" s="4" t="inlineStr">
        <is>
          <t>Header ending in *</t>
        </is>
      </c>
      <c r="D6" s="5" t="inlineStr">
        <is>
          <t>The record is not valid without it. The Console will refuse to import a row that is missing one.</t>
        </is>
      </c>
    </row>
    <row r="7" ht="26" customHeight="1">
      <c r="B7" s="4" t="inlineStr">
        <is>
          <t>Grey column</t>
        </is>
      </c>
      <c r="D7" s="5" t="inlineStr">
        <is>
          <t>Calculated. Do not type in it - your value will be overwritten the next time a row is added.</t>
        </is>
      </c>
    </row>
    <row r="8" ht="26" customHeight="1">
      <c r="B8" s="4" t="inlineStr">
        <is>
          <t>Amber italic row</t>
        </is>
      </c>
      <c r="D8" s="5" t="inlineStr">
        <is>
          <t>A worked example showing the expected format. Delete it before you go live (Console &gt; Admin &gt; Clear Example Rows does all three workbooks at once).</t>
        </is>
      </c>
    </row>
    <row r="9" ht="26" customHeight="1">
      <c r="B9" s="4" t="inlineStr">
        <is>
          <t>Red / amber date</t>
        </is>
      </c>
      <c r="D9" s="5" t="inlineStr">
        <is>
          <t>Conditional formatting: red = already past, amber = falls due within 30 days.</t>
        </is>
      </c>
    </row>
    <row r="10" ht="26" customHeight="1">
      <c r="B10" s="4" t="inlineStr">
        <is>
          <t>Hover a header</t>
        </is>
      </c>
      <c r="D10" s="5" t="inlineStr">
        <is>
          <t>Every column with a rule or a gotcha carries a comment explaining it.</t>
        </is>
      </c>
    </row>
    <row r="12">
      <c r="B12" s="3" t="inlineStr">
        <is>
          <t>House rules</t>
        </is>
      </c>
    </row>
    <row r="13" ht="26" customHeight="1">
      <c r="B13" s="4" t="inlineStr">
        <is>
          <t>One row = one thing</t>
        </is>
      </c>
      <c r="D13" s="5" t="inlineStr">
        <is>
          <t>Never use a row for two records, and never leave a gap row inside a table - the table stops there.</t>
        </is>
      </c>
    </row>
    <row r="14" ht="26" customHeight="1">
      <c r="B14" s="4" t="inlineStr">
        <is>
          <t>IDs are permanent</t>
        </is>
      </c>
      <c r="D14" s="5" t="inlineStr">
        <is>
          <t>Allocated by the Console. Never renumber, never reuse, never edit an ID by hand.</t>
        </is>
      </c>
    </row>
    <row r="15" ht="26" customHeight="1">
      <c r="B15" s="4" t="inlineStr">
        <is>
          <t>Type into the table only</t>
        </is>
      </c>
      <c r="D15" s="5" t="inlineStr">
        <is>
          <t>Click the last cell of the last row and press Tab to add a row. The table, its formulas and every formula that reads it all grow automatically.</t>
        </is>
      </c>
    </row>
    <row r="16" ht="26" customHeight="1">
      <c r="B16" s="4" t="inlineStr">
        <is>
          <t>Dates are real dates</t>
        </is>
      </c>
      <c r="D16" s="5" t="inlineStr">
        <is>
          <t>Type 4/8/26, not '4th Aug'. If it sits on the left of the cell, Excel has taken it as text and every date calculation on that row is dead.</t>
        </is>
      </c>
    </row>
    <row r="17" ht="26" customHeight="1">
      <c r="B17" s="4" t="inlineStr">
        <is>
          <t>Never sort by hand</t>
        </is>
      </c>
      <c r="D17" s="5" t="inlineStr">
        <is>
          <t>Use the filter arrows. Sorting a range rather than the table is how data gets shuffled between rows.</t>
        </is>
      </c>
    </row>
    <row r="18" ht="26" customHeight="1">
      <c r="B18" s="4" t="inlineStr">
        <is>
          <t>One person, one workbook</t>
        </is>
      </c>
      <c r="D18" s="5" t="inlineStr">
        <is>
          <t>Put these on the shared drive / SharePoint and let the Console read them. Two people typing into the same workbook at once is how you lose an afternoon.</t>
        </is>
      </c>
    </row>
    <row r="20">
      <c r="B20" s="3" t="inlineStr">
        <is>
          <t>Sheets in this workbook</t>
        </is>
      </c>
    </row>
    <row r="21">
      <c r="B21" s="6" t="inlineStr">
        <is>
          <t>Sheet</t>
        </is>
      </c>
      <c r="C21" s="6" t="inlineStr">
        <is>
          <t>Table</t>
        </is>
      </c>
      <c r="D21" s="6" t="inlineStr">
        <is>
          <t>What it holds</t>
        </is>
      </c>
    </row>
    <row r="22" ht="30" customHeight="1">
      <c r="B22" s="7" t="inlineStr">
        <is>
          <t>DocRegister</t>
        </is>
      </c>
      <c r="C22" s="7" t="inlineStr">
        <is>
          <t>tblDocRegister</t>
        </is>
      </c>
      <c r="D22" s="7" t="inlineStr">
        <is>
          <t>Master index of the management system. Nothing is 'controlled' unless it is on this list.  [ISO 9001 / 14001 / 45001 clause 7.5]</t>
        </is>
      </c>
    </row>
    <row r="23" ht="30" customHeight="1">
      <c r="B23" s="7" t="inlineStr">
        <is>
          <t>NCR</t>
        </is>
      </c>
      <c r="C23" s="7" t="inlineStr">
        <is>
          <t>tblNCR</t>
        </is>
      </c>
      <c r="D23" s="7" t="inlineStr">
        <is>
          <t>Nonconformities, their root cause and the action taken. The heart of an ISO audit.  [ISO 9001 10.2 / 14001 10.2 / 45001 10.2]</t>
        </is>
      </c>
    </row>
    <row r="24" ht="30" customHeight="1">
      <c r="B24" s="7" t="inlineStr">
        <is>
          <t>Audits</t>
        </is>
      </c>
      <c r="C24" s="7" t="inlineStr">
        <is>
          <t>tblAudits</t>
        </is>
      </c>
      <c r="D24" s="7" t="inlineStr">
        <is>
          <t>Planned and completed audits across all three standards.  [ISO 9001 9.2]</t>
        </is>
      </c>
    </row>
    <row r="25" ht="30" customHeight="1">
      <c r="B25" s="7" t="inlineStr">
        <is>
          <t>Training</t>
        </is>
      </c>
      <c r="C25" s="7" t="inlineStr">
        <is>
          <t>tblTraining</t>
        </is>
      </c>
      <c r="D25" s="7" t="inlineStr">
        <is>
          <t>Completed training. Expiry is calculated, so refreshers surface on Alerts automatically.  [ISO 9001 7.2 / 45001 7.2]</t>
        </is>
      </c>
    </row>
    <row r="26" ht="30" customHeight="1">
      <c r="B26" s="7" t="inlineStr">
        <is>
          <t>RequiredTraining</t>
        </is>
      </c>
      <c r="C26" s="7" t="inlineStr">
        <is>
          <t>tblRequiredTraining</t>
        </is>
      </c>
      <c r="D26" s="7" t="inlineStr">
        <is>
          <t>Drives the Training Matrix sheet: which roles must hold which competences.  [ISO 45001 7.2]</t>
        </is>
      </c>
    </row>
    <row r="27" ht="30" customHeight="1">
      <c r="B27" s="7" t="inlineStr">
        <is>
          <t>Calibration</t>
        </is>
      </c>
      <c r="C27" s="7" t="inlineStr">
        <is>
          <t>tblCalibration</t>
        </is>
      </c>
      <c r="D27" s="7" t="inlineStr">
        <is>
          <t>Calibration control. The weighbridge belongs here - an out-of-calibration bridge invalidates every ticket and every tonne you have invoiced.  [ISO 9001 7.1.5]</t>
        </is>
      </c>
    </row>
    <row r="28" ht="30" customHeight="1">
      <c r="B28" s="7" t="inlineStr">
        <is>
          <t>Permits</t>
        </is>
      </c>
      <c r="C28" s="7" t="inlineStr">
        <is>
          <t>tblPermits</t>
        </is>
      </c>
      <c r="D28" s="7" t="inlineStr">
        <is>
          <t>Every licence that would stop the site trading if it lapsed.  [ISO 14001 6.1.3]</t>
        </is>
      </c>
    </row>
    <row r="29" ht="30" customHeight="1">
      <c r="B29" s="7" t="inlineStr">
        <is>
          <t>Incidents</t>
        </is>
      </c>
      <c r="C29" s="7" t="inlineStr">
        <is>
          <t>tblIncidents</t>
        </is>
      </c>
      <c r="D29" s="7" t="inlineStr">
        <is>
          <t>Health, safety and environmental events. Near misses matter as much as injuries.  [ISO 45001 10.2 / RIDDOR 2013]</t>
        </is>
      </c>
    </row>
    <row r="30" ht="30" customHeight="1">
      <c r="B30" s="7" t="inlineStr">
        <is>
          <t>LegalRegister</t>
        </is>
      </c>
      <c r="C30" s="7" t="inlineStr">
        <is>
          <t>tblLegalRegister</t>
        </is>
      </c>
      <c r="D30" s="7" t="inlineStr">
        <is>
          <t>What law applies to us, how we comply, and where the evidence is.  [ISO 14001 6.1.3 / 45001 6.1.3]</t>
        </is>
      </c>
    </row>
    <row r="31" ht="30" customHeight="1">
      <c r="B31" s="7" t="inlineStr">
        <is>
          <t>Objectives</t>
        </is>
      </c>
      <c r="C31" s="7" t="inlineStr">
        <is>
          <t>tblObjectives</t>
        </is>
      </c>
      <c r="D31" s="7" t="inlineStr">
        <is>
          <t>Measurable objectives per standard, with the KPI that proves them.  [ISO 9001 6.2 / 14001 6.2 / 45001 6.2]</t>
        </is>
      </c>
    </row>
    <row r="32" ht="30" customHeight="1">
      <c r="B32" s="7" t="inlineStr">
        <is>
          <t>RisksOpps</t>
        </is>
      </c>
      <c r="C32" s="7" t="inlineStr">
        <is>
          <t>tblRisksOpps</t>
        </is>
      </c>
      <c r="D32" s="7" t="inlineStr">
        <is>
          <t>Clause 6.1 risk register, scored before and after controls.  [ISO 9001 6.1 / 14001 6.1 / 45001 6.1]</t>
        </is>
      </c>
    </row>
    <row r="33" ht="30" customHeight="1">
      <c r="B33" s="7" t="inlineStr">
        <is>
          <t>MgmtReview</t>
        </is>
      </c>
      <c r="C33" s="7" t="inlineStr">
        <is>
          <t>tblMgmtReview</t>
        </is>
      </c>
      <c r="D33" s="7" t="inlineStr">
        <is>
          <t>Clause 9.3 review meetings, their inputs and their outputs.  [ISO 9001 9.3]</t>
        </is>
      </c>
    </row>
    <row r="34" ht="30" customHeight="1">
      <c r="B34" s="7" t="inlineStr">
        <is>
          <t>SupplierEval</t>
        </is>
      </c>
      <c r="C34" s="7" t="inlineStr">
        <is>
          <t>tblSupplierEval</t>
        </is>
      </c>
      <c r="D34" s="7" t="inlineStr">
        <is>
          <t>Periodic scoring of approved suppliers. Feeds the approval status in tblSuppliers.  [ISO 9001 8.4.1]</t>
        </is>
      </c>
    </row>
    <row r="36">
      <c r="B36" s="8" t="inlineStr">
        <is>
          <t>Generated by acorn-ops/build/build_data.py from schema.py. Rebuild rather than hand-edit.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12" customWidth="1" min="4" max="4"/>
    <col width="11" customWidth="1" min="5" max="5"/>
    <col width="18" customWidth="1" min="6" max="6"/>
    <col width="9" customWidth="1" min="7" max="7"/>
    <col width="12" customWidth="1" min="8" max="8"/>
    <col width="13" customWidth="1" min="9" max="9"/>
    <col width="12" customWidth="1" min="10" max="10"/>
    <col width="12" customWidth="1" min="11" max="11"/>
    <col width="40" customWidth="1" min="12" max="12"/>
    <col width="13" customWidth="1" min="13" max="13"/>
    <col width="26" customWidth="1" min="14" max="14"/>
  </cols>
  <sheetData>
    <row r="1">
      <c r="A1" s="9" t="inlineStr">
        <is>
          <t>Controlled Document Register</t>
        </is>
      </c>
    </row>
    <row r="2">
      <c r="A2" s="8" t="inlineStr">
        <is>
          <t>Master index of the management system. Nothing is 'controlled' unless it is on this list.</t>
        </is>
      </c>
    </row>
    <row r="3">
      <c r="A3" s="8" t="inlineStr">
        <is>
          <t>Reference: ISO 9001 / 14001 / 45001 clause 7.5</t>
        </is>
      </c>
    </row>
    <row r="5" ht="30" customHeight="1">
      <c r="A5" s="10" t="inlineStr">
        <is>
          <t>DocID *</t>
        </is>
      </c>
      <c r="B5" s="10" t="inlineStr">
        <is>
          <t>DocTitle *</t>
        </is>
      </c>
      <c r="C5" s="10" t="inlineStr">
        <is>
          <t>DocType *</t>
        </is>
      </c>
      <c r="D5" s="10" t="inlineStr">
        <is>
          <t>Standard</t>
        </is>
      </c>
      <c r="E5" s="10" t="inlineStr">
        <is>
          <t>ISOClause</t>
        </is>
      </c>
      <c r="F5" s="10" t="inlineStr">
        <is>
          <t>Owner *</t>
        </is>
      </c>
      <c r="G5" s="10" t="inlineStr">
        <is>
          <t>Revision *</t>
        </is>
      </c>
      <c r="H5" s="10" t="inlineStr">
        <is>
          <t>IssueDate *</t>
        </is>
      </c>
      <c r="I5" s="10" t="inlineStr">
        <is>
          <t>ReviewMonths</t>
        </is>
      </c>
      <c r="J5" s="10" t="inlineStr">
        <is>
          <t>ReviewDue</t>
        </is>
      </c>
      <c r="K5" s="10" t="inlineStr">
        <is>
          <t>Status *</t>
        </is>
      </c>
      <c r="L5" s="10" t="inlineStr">
        <is>
          <t>Location</t>
        </is>
      </c>
      <c r="M5" s="10" t="inlineStr">
        <is>
          <t>SupersededBy</t>
        </is>
      </c>
      <c r="N5" s="10" t="inlineStr">
        <is>
          <t>Notes</t>
        </is>
      </c>
    </row>
    <row r="6" ht="30" customHeight="1">
      <c r="A6" s="11" t="inlineStr">
        <is>
          <t>AR-QP-04</t>
        </is>
      </c>
      <c r="B6" s="11" t="inlineStr">
        <is>
          <t>Control of Waste Acceptance</t>
        </is>
      </c>
      <c r="C6" s="11" t="inlineStr">
        <is>
          <t>Procedure</t>
        </is>
      </c>
      <c r="D6" s="11" t="inlineStr">
        <is>
          <t>ISO 14001</t>
        </is>
      </c>
      <c r="E6" s="11" t="inlineStr">
        <is>
          <t>8.1</t>
        </is>
      </c>
      <c r="F6" s="11" t="inlineStr">
        <is>
          <t>Operations Manager</t>
        </is>
      </c>
      <c r="G6" s="11" t="inlineStr">
        <is>
          <t>3.0</t>
        </is>
      </c>
      <c r="H6" s="12" t="n">
        <v>46083</v>
      </c>
      <c r="I6" s="13" t="n">
        <v>12</v>
      </c>
      <c r="J6" s="14">
        <f>IF(H6="","",EDATE(H6,IF(I6="",12,I6)))</f>
        <v/>
      </c>
      <c r="K6" s="11" t="inlineStr">
        <is>
          <t>Issued</t>
        </is>
      </c>
      <c r="L6" s="11" t="inlineStr">
        <is>
          <t>04_Documents\Controlled\Procedures\AR-QP-04 Waste Acceptance R3.docx</t>
        </is>
      </c>
      <c r="M6" s="11" t="inlineStr"/>
      <c r="N6" s="15" t="inlineStr"/>
    </row>
  </sheetData>
  <conditionalFormatting sqref="J6:J2000">
    <cfRule type="expression" priority="1" dxfId="0" stopIfTrue="1">
      <formula>AND(ISNUMBER(J6),J6&lt;TODAY())</formula>
    </cfRule>
    <cfRule type="expression" priority="2" dxfId="1" stopIfTrue="1">
      <formula>AND(ISNUMBER(J6),J6&lt;=TODAY()+30)</formula>
    </cfRule>
  </conditionalFormatting>
  <dataValidations count="3">
    <dataValidation sqref="C6:C2000" showDropDown="0" showInputMessage="0" showErrorMessage="1" allowBlank="1" errorTitle="Not on the list" error="Pick one of the DocType options. If you genuinely need a new one, add it on the _Lists sheet first." type="list">
      <formula1>=lst_DocType</formula1>
    </dataValidation>
    <dataValidation sqref="D6:D2000" showDropDown="0" showInputMessage="0" showErrorMessage="1" allowBlank="1" errorTitle="Not on the list" error="Pick one of the Standard options. If you genuinely need a new one, add it on the _Lists sheet first." type="list">
      <formula1>=lst_Standard</formula1>
    </dataValidation>
    <dataValidation sqref="K6:K2000" showDropDown="0" showInputMessage="0" showErrorMessage="1" allowBlank="1" errorTitle="Not on the list" error="Pick one of the DocStatus options. If you genuinely need a new one, add it on the _Lists sheet first." type="list">
      <formula1>=lst_DocStatus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8" customWidth="1" min="4" max="4"/>
    <col width="15" customWidth="1" min="5" max="5"/>
    <col width="12" customWidth="1" min="6" max="6"/>
    <col width="42" customWidth="1" min="7" max="7"/>
    <col width="12" customWidth="1" min="8" max="8"/>
    <col width="15" customWidth="1" min="9" max="9"/>
    <col width="36" customWidth="1" min="10" max="10"/>
    <col width="36" customWidth="1" min="11" max="11"/>
    <col width="36" customWidth="1" min="12" max="12"/>
    <col width="17" customWidth="1" min="13" max="13"/>
    <col width="11" customWidth="1" min="14" max="14"/>
    <col width="11" customWidth="1" min="15" max="15"/>
    <col width="32" customWidth="1" min="16" max="16"/>
    <col width="18" customWidth="1" min="17" max="17"/>
    <col width="11" customWidth="1" min="18" max="18"/>
    <col width="10" customWidth="1" min="19" max="19"/>
  </cols>
  <sheetData>
    <row r="1">
      <c r="A1" s="9" t="inlineStr">
        <is>
          <t>Nonconformity &amp; Corrective Action</t>
        </is>
      </c>
    </row>
    <row r="2">
      <c r="A2" s="8" t="inlineStr">
        <is>
          <t>Nonconformities, their root cause and the action taken. The heart of an ISO audit.</t>
        </is>
      </c>
    </row>
    <row r="3">
      <c r="A3" s="8" t="inlineStr">
        <is>
          <t>Reference: ISO 9001 10.2 / 14001 10.2 / 45001 10.2</t>
        </is>
      </c>
    </row>
    <row r="5" ht="30" customHeight="1">
      <c r="A5" s="10" t="inlineStr">
        <is>
          <t>NCRID *</t>
        </is>
      </c>
      <c r="B5" s="10" t="inlineStr">
        <is>
          <t>RaisedOn *</t>
        </is>
      </c>
      <c r="C5" s="10" t="inlineStr">
        <is>
          <t>RaisedBy *</t>
        </is>
      </c>
      <c r="D5" s="10" t="inlineStr">
        <is>
          <t>Source *</t>
        </is>
      </c>
      <c r="E5" s="10" t="inlineStr">
        <is>
          <t>Type *</t>
        </is>
      </c>
      <c r="F5" s="10" t="inlineStr">
        <is>
          <t>Severity *</t>
        </is>
      </c>
      <c r="G5" s="10" t="inlineStr">
        <is>
          <t>Description *</t>
        </is>
      </c>
      <c r="H5" s="10" t="inlineStr">
        <is>
          <t>LinkedJobID</t>
        </is>
      </c>
      <c r="I5" s="10" t="inlineStr">
        <is>
          <t>LinkedCustomerID</t>
        </is>
      </c>
      <c r="J5" s="10" t="inlineStr">
        <is>
          <t>ImmediateCorrection</t>
        </is>
      </c>
      <c r="K5" s="10" t="inlineStr">
        <is>
          <t>RootCause</t>
        </is>
      </c>
      <c r="L5" s="10" t="inlineStr">
        <is>
          <t>CorrectiveAction</t>
        </is>
      </c>
      <c r="M5" s="10" t="inlineStr">
        <is>
          <t>ActionOwner *</t>
        </is>
      </c>
      <c r="N5" s="10" t="inlineStr">
        <is>
          <t>DueDate *</t>
        </is>
      </c>
      <c r="O5" s="10" t="inlineStr">
        <is>
          <t>ClosedOn</t>
        </is>
      </c>
      <c r="P5" s="10" t="inlineStr">
        <is>
          <t>EffectivenessCheck</t>
        </is>
      </c>
      <c r="Q5" s="10" t="inlineStr">
        <is>
          <t>Status *</t>
        </is>
      </c>
      <c r="R5" s="10" t="inlineStr">
        <is>
          <t>DaysOpen</t>
        </is>
      </c>
      <c r="S5" s="10" t="inlineStr">
        <is>
          <t>Overdue</t>
        </is>
      </c>
    </row>
    <row r="6" ht="30" customHeight="1">
      <c r="A6" s="11" t="inlineStr">
        <is>
          <t>NCR-0031</t>
        </is>
      </c>
      <c r="B6" s="12" t="n">
        <v>46224</v>
      </c>
      <c r="C6" s="11" t="inlineStr">
        <is>
          <t>K Dolan</t>
        </is>
      </c>
      <c r="D6" s="11" t="inlineStr">
        <is>
          <t>Weighbridge</t>
        </is>
      </c>
      <c r="E6" s="11" t="inlineStr">
        <is>
          <t>Environmental</t>
        </is>
      </c>
      <c r="F6" s="11" t="inlineStr">
        <is>
          <t>Minor</t>
        </is>
      </c>
      <c r="G6" s="15" t="inlineStr">
        <is>
          <t>Load of 170904 contained plasterboard, rejected at the MRF.</t>
        </is>
      </c>
      <c r="H6" s="11" t="inlineStr">
        <is>
          <t>JOB-1038</t>
        </is>
      </c>
      <c r="I6" s="11" t="inlineStr">
        <is>
          <t>ACC-0001</t>
        </is>
      </c>
      <c r="J6" s="15" t="inlineStr">
        <is>
          <t>Load segregated by hand and plasterboard sent to OUT-004.</t>
        </is>
      </c>
      <c r="K6" s="15" t="inlineStr">
        <is>
          <t>Customer not briefed on prohibited items at point of booking.</t>
        </is>
      </c>
      <c r="L6" s="15" t="inlineStr">
        <is>
          <t>Prohibited items list added to the booking confirmation template and to AR-QP-04 R3.</t>
        </is>
      </c>
      <c r="M6" s="11" t="inlineStr">
        <is>
          <t>Operations Manager</t>
        </is>
      </c>
      <c r="N6" s="12" t="n">
        <v>46256</v>
      </c>
      <c r="O6" s="12" t="inlineStr"/>
      <c r="P6" s="15" t="inlineStr"/>
      <c r="Q6" s="11" t="inlineStr">
        <is>
          <t>In Progress</t>
        </is>
      </c>
      <c r="R6" s="16">
        <f>IF(B6="","",IF(O6="",TODAY()-B6,O6-B6))</f>
        <v/>
      </c>
      <c r="S6" s="14">
        <f>IF(OR(N6="",O6&lt;&gt;""),"",IF(TODAY()&gt;N6,"YES",""))</f>
        <v/>
      </c>
    </row>
  </sheetData>
  <conditionalFormatting sqref="N6:N2000">
    <cfRule type="expression" priority="1" dxfId="0" stopIfTrue="1">
      <formula>AND(ISNUMBER(N6),N6&lt;TODAY())</formula>
    </cfRule>
    <cfRule type="expression" priority="2" dxfId="1" stopIfTrue="1">
      <formula>AND(ISNUMBER(N6),N6&lt;=TODAY()+30)</formula>
    </cfRule>
  </conditionalFormatting>
  <conditionalFormatting sqref="S6:S2000">
    <cfRule type="expression" priority="3" dxfId="0" stopIfTrue="1">
      <formula>AND(ISNUMBER(S6),S6&lt;TODAY())</formula>
    </cfRule>
    <cfRule type="expression" priority="4" dxfId="1" stopIfTrue="1">
      <formula>AND(ISNUMBER(S6),S6&lt;=TODAY()+30)</formula>
    </cfRule>
  </conditionalFormatting>
  <dataValidations count="4">
    <dataValidation sqref="D6:D2000" showDropDown="0" showInputMessage="0" showErrorMessage="1" allowBlank="1" errorTitle="Not on the list" error="Pick one of the NCRSource options. If you genuinely need a new one, add it on the _Lists sheet first." type="list">
      <formula1>=lst_NCRSource</formula1>
    </dataValidation>
    <dataValidation sqref="E6:E2000" showDropDown="0" showInputMessage="0" showErrorMessage="1" allowBlank="1" errorTitle="Not on the list" error="Pick one of the NCRType options. If you genuinely need a new one, add it on the _Lists sheet first." type="list">
      <formula1>=lst_NCRType</formula1>
    </dataValidation>
    <dataValidation sqref="F6:F2000" showDropDown="0" showInputMessage="0" showErrorMessage="1" allowBlank="1" errorTitle="Not on the list" error="Pick one of the Severity options. If you genuinely need a new one, add it on the _Lists sheet first." type="list">
      <formula1>=lst_Severity</formula1>
    </dataValidation>
    <dataValidation sqref="Q6:Q2000" showDropDown="0" showInputMessage="0" showErrorMessage="1" allowBlank="1" errorTitle="Not on the list" error="Pick one of the OpenClosed options. If you genuinely need a new one, add it on the _Lists sheet first." type="list">
      <formula1>=lst_OpenClosed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34" customWidth="1" min="4" max="4"/>
    <col width="12" customWidth="1" min="5" max="5"/>
    <col width="12" customWidth="1" min="6" max="6"/>
    <col width="18" customWidth="1" min="7" max="7"/>
    <col width="18" customWidth="1" min="8" max="8"/>
    <col width="13" customWidth="1" min="9" max="9"/>
    <col width="13" customWidth="1" min="10" max="10"/>
    <col width="13" customWidth="1" min="11" max="11"/>
    <col width="40" customWidth="1" min="12" max="12"/>
    <col width="14" customWidth="1" min="13" max="13"/>
  </cols>
  <sheetData>
    <row r="1">
      <c r="A1" s="9" t="inlineStr">
        <is>
          <t>Audit Programme</t>
        </is>
      </c>
    </row>
    <row r="2">
      <c r="A2" s="8" t="inlineStr">
        <is>
          <t>Planned and completed audits across all three standards.</t>
        </is>
      </c>
    </row>
    <row r="3">
      <c r="A3" s="8" t="inlineStr">
        <is>
          <t>Reference: ISO 9001 9.2</t>
        </is>
      </c>
    </row>
    <row r="5" ht="30" customHeight="1">
      <c r="A5" s="10" t="inlineStr">
        <is>
          <t>AuditID *</t>
        </is>
      </c>
      <c r="B5" s="10" t="inlineStr">
        <is>
          <t>AuditType *</t>
        </is>
      </c>
      <c r="C5" s="10" t="inlineStr">
        <is>
          <t>Standard *</t>
        </is>
      </c>
      <c r="D5" s="10" t="inlineStr">
        <is>
          <t>Scope *</t>
        </is>
      </c>
      <c r="E5" s="10" t="inlineStr">
        <is>
          <t>PlannedDate *</t>
        </is>
      </c>
      <c r="F5" s="10" t="inlineStr">
        <is>
          <t>ActualDate</t>
        </is>
      </c>
      <c r="G5" s="10" t="inlineStr">
        <is>
          <t>Auditor</t>
        </is>
      </c>
      <c r="H5" s="10" t="inlineStr">
        <is>
          <t>Auditee</t>
        </is>
      </c>
      <c r="I5" s="10" t="inlineStr">
        <is>
          <t>FindingsMajor</t>
        </is>
      </c>
      <c r="J5" s="10" t="inlineStr">
        <is>
          <t>FindingsMinor</t>
        </is>
      </c>
      <c r="K5" s="10" t="inlineStr">
        <is>
          <t>Observations</t>
        </is>
      </c>
      <c r="L5" s="10" t="inlineStr">
        <is>
          <t>ReportPath</t>
        </is>
      </c>
      <c r="M5" s="10" t="inlineStr">
        <is>
          <t>Status *</t>
        </is>
      </c>
    </row>
    <row r="6" ht="30" customHeight="1">
      <c r="A6" s="11" t="inlineStr">
        <is>
          <t>AUD-014</t>
        </is>
      </c>
      <c r="B6" s="11" t="inlineStr">
        <is>
          <t>Internal</t>
        </is>
      </c>
      <c r="C6" s="11" t="inlineStr">
        <is>
          <t>ISO 14001</t>
        </is>
      </c>
      <c r="D6" s="11" t="inlineStr">
        <is>
          <t>Waste acceptance and storage - transfer station</t>
        </is>
      </c>
      <c r="E6" s="12" t="n">
        <v>46280</v>
      </c>
      <c r="F6" s="12" t="inlineStr"/>
      <c r="G6" s="11" t="inlineStr">
        <is>
          <t>R Shaw</t>
        </is>
      </c>
      <c r="H6" s="11" t="inlineStr">
        <is>
          <t>Operations</t>
        </is>
      </c>
      <c r="I6" s="13" t="n"/>
      <c r="J6" s="13" t="n"/>
      <c r="K6" s="13" t="n"/>
      <c r="L6" s="11" t="inlineStr"/>
      <c r="M6" s="11" t="inlineStr">
        <is>
          <t>Open</t>
        </is>
      </c>
    </row>
  </sheetData>
  <dataValidations count="3">
    <dataValidation sqref="B6:B2000" showDropDown="0" showInputMessage="0" showErrorMessage="1" allowBlank="1" errorTitle="Not on the list" error="Pick one of the AuditType options. If you genuinely need a new one, add it on the _Lists sheet first." type="list">
      <formula1>=lst_AuditType</formula1>
    </dataValidation>
    <dataValidation sqref="C6:C2000" showDropDown="0" showInputMessage="0" showErrorMessage="1" allowBlank="1" errorTitle="Not on the list" error="Pick one of the Standard options. If you genuinely need a new one, add it on the _Lists sheet first." type="list">
      <formula1>=lst_Standard</formula1>
    </dataValidation>
    <dataValidation sqref="M6:M2000" showDropDown="0" showInputMessage="0" showErrorMessage="1" allowBlank="1" errorTitle="Not on the list" error="Pick one of the OpenClosed options. If you genuinely need a new one, add it on the _Lists sheet first." type="list">
      <formula1>=lst_OpenClosed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30" customWidth="1" min="4" max="4"/>
    <col width="22" customWidth="1" min="5" max="5"/>
    <col width="13" customWidth="1" min="6" max="6"/>
    <col width="12" customWidth="1" min="7" max="7"/>
    <col width="12" customWidth="1" min="8" max="8"/>
    <col width="40" customWidth="1" min="9" max="9"/>
    <col width="10" customWidth="1" min="10" max="10"/>
  </cols>
  <sheetData>
    <row r="1">
      <c r="A1" s="9" t="inlineStr">
        <is>
          <t>Training Records</t>
        </is>
      </c>
    </row>
    <row r="2">
      <c r="A2" s="8" t="inlineStr">
        <is>
          <t>Completed training. Expiry is calculated, so refreshers surface on Alerts automatically.</t>
        </is>
      </c>
    </row>
    <row r="3">
      <c r="A3" s="8" t="inlineStr">
        <is>
          <t>Reference: ISO 9001 7.2 / 45001 7.2</t>
        </is>
      </c>
    </row>
    <row r="5" ht="30" customHeight="1">
      <c r="A5" s="10" t="inlineStr">
        <is>
          <t>TrainingID *</t>
        </is>
      </c>
      <c r="B5" s="10" t="inlineStr">
        <is>
          <t>StaffID *</t>
        </is>
      </c>
      <c r="C5" s="10" t="inlineStr">
        <is>
          <t>StaffName</t>
        </is>
      </c>
      <c r="D5" s="10" t="inlineStr">
        <is>
          <t>Course *</t>
        </is>
      </c>
      <c r="E5" s="10" t="inlineStr">
        <is>
          <t>Provider</t>
        </is>
      </c>
      <c r="F5" s="10" t="inlineStr">
        <is>
          <t>CompletedOn *</t>
        </is>
      </c>
      <c r="G5" s="10" t="inlineStr">
        <is>
          <t>ValidMonths</t>
        </is>
      </c>
      <c r="H5" s="10" t="inlineStr">
        <is>
          <t>ExpiresOn</t>
        </is>
      </c>
      <c r="I5" s="10" t="inlineStr">
        <is>
          <t>CertificatePath</t>
        </is>
      </c>
      <c r="J5" s="10" t="inlineStr">
        <is>
          <t>Cost</t>
        </is>
      </c>
    </row>
    <row r="6" ht="30" customHeight="1">
      <c r="A6" s="11" t="inlineStr">
        <is>
          <t>TRN-000412</t>
        </is>
      </c>
      <c r="B6" s="11" t="inlineStr">
        <is>
          <t>STF-004</t>
        </is>
      </c>
      <c r="C6" s="11" t="inlineStr">
        <is>
          <t>Alan Pickering</t>
        </is>
      </c>
      <c r="D6" s="11" t="inlineStr">
        <is>
          <t>Driver CPC Module 4</t>
        </is>
      </c>
      <c r="E6" s="11" t="inlineStr">
        <is>
          <t>RTITB</t>
        </is>
      </c>
      <c r="F6" s="12" t="n">
        <v>44638</v>
      </c>
      <c r="G6" s="13" t="n">
        <v>60</v>
      </c>
      <c r="H6" s="14">
        <f>IF(OR(F6="",G6=""),"",EDATE(F6,G6))</f>
        <v/>
      </c>
      <c r="I6" s="11" t="inlineStr">
        <is>
          <t>05_Compliance\Training\STF-004\CPC-M4-2022.pdf</t>
        </is>
      </c>
      <c r="J6" s="17" t="n">
        <v>95</v>
      </c>
    </row>
  </sheetData>
  <conditionalFormatting sqref="H6:H2000">
    <cfRule type="expression" priority="1" dxfId="0" stopIfTrue="1">
      <formula>AND(ISNUMBER(H6),H6&lt;TODAY())</formula>
    </cfRule>
    <cfRule type="expression" priority="2" dxfId="1" stopIfTrue="1">
      <formula>AND(ISNUMBER(H6),H6&lt;=TODAY()+30)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1" customWidth="1" min="4" max="4"/>
    <col width="14" customWidth="1" min="5" max="5"/>
    <col width="26" customWidth="1" min="6" max="6"/>
  </cols>
  <sheetData>
    <row r="1">
      <c r="A1" s="9" t="inlineStr">
        <is>
          <t>Training Requirements by Role</t>
        </is>
      </c>
    </row>
    <row r="2">
      <c r="A2" s="8" t="inlineStr">
        <is>
          <t>Drives the Training Matrix sheet: which roles must hold which competences.</t>
        </is>
      </c>
    </row>
    <row r="3">
      <c r="A3" s="8" t="inlineStr">
        <is>
          <t>Reference: ISO 45001 7.2</t>
        </is>
      </c>
    </row>
    <row r="5" ht="30" customHeight="1">
      <c r="A5" s="10" t="inlineStr">
        <is>
          <t>ReqID *</t>
        </is>
      </c>
      <c r="B5" s="10" t="inlineStr">
        <is>
          <t>Role *</t>
        </is>
      </c>
      <c r="C5" s="10" t="inlineStr">
        <is>
          <t>Course *</t>
        </is>
      </c>
      <c r="D5" s="10" t="inlineStr">
        <is>
          <t>Mandatory *</t>
        </is>
      </c>
      <c r="E5" s="10" t="inlineStr">
        <is>
          <t>RefreshMonths</t>
        </is>
      </c>
      <c r="F5" s="10" t="inlineStr">
        <is>
          <t>Notes</t>
        </is>
      </c>
    </row>
    <row r="6" ht="30" customHeight="1">
      <c r="A6" s="11" t="inlineStr">
        <is>
          <t>REQ-0007</t>
        </is>
      </c>
      <c r="B6" s="11" t="inlineStr">
        <is>
          <t>HGV Driver</t>
        </is>
      </c>
      <c r="C6" s="11" t="inlineStr">
        <is>
          <t>Driver CPC Module 4</t>
        </is>
      </c>
      <c r="D6" s="11" t="inlineStr">
        <is>
          <t>Yes</t>
        </is>
      </c>
      <c r="E6" s="13" t="n">
        <v>60</v>
      </c>
      <c r="F6" s="15" t="inlineStr">
        <is>
          <t>Legal requirement.</t>
        </is>
      </c>
    </row>
  </sheetData>
  <dataValidations count="1">
    <dataValidation sqref="D6:D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18" customWidth="1" min="4" max="4"/>
    <col width="22" customWidth="1" min="5" max="5"/>
    <col width="14" customWidth="1" min="6" max="6"/>
    <col width="15" customWidth="1" min="7" max="7"/>
    <col width="12" customWidth="1" min="8" max="8"/>
    <col width="40" customWidth="1" min="9" max="9"/>
    <col width="11" customWidth="1" min="10" max="10"/>
  </cols>
  <sheetData>
    <row r="1">
      <c r="A1" s="9" t="inlineStr">
        <is>
          <t>Monitoring &amp; Measuring Equipment</t>
        </is>
      </c>
    </row>
    <row r="2">
      <c r="A2" s="8" t="inlineStr">
        <is>
          <t>Calibration control. The weighbridge belongs here - an out-of-calibration bridge invalidates every ticket and every tonne you have invoiced.</t>
        </is>
      </c>
    </row>
    <row r="3">
      <c r="A3" s="8" t="inlineStr">
        <is>
          <t>Reference: ISO 9001 7.1.5</t>
        </is>
      </c>
    </row>
    <row r="5" ht="30" customHeight="1">
      <c r="A5" s="10" t="inlineStr">
        <is>
          <t>EquipmentID *</t>
        </is>
      </c>
      <c r="B5" s="10" t="inlineStr">
        <is>
          <t>Description *</t>
        </is>
      </c>
      <c r="C5" s="10" t="inlineStr">
        <is>
          <t>Location</t>
        </is>
      </c>
      <c r="D5" s="10" t="inlineStr">
        <is>
          <t>SerialNo</t>
        </is>
      </c>
      <c r="E5" s="10" t="inlineStr">
        <is>
          <t>Provider</t>
        </is>
      </c>
      <c r="F5" s="10" t="inlineStr">
        <is>
          <t>LastCalibration *</t>
        </is>
      </c>
      <c r="G5" s="10" t="inlineStr">
        <is>
          <t>FrequencyMonths *</t>
        </is>
      </c>
      <c r="H5" s="10" t="inlineStr">
        <is>
          <t>NextDue</t>
        </is>
      </c>
      <c r="I5" s="10" t="inlineStr">
        <is>
          <t>CertificatePath</t>
        </is>
      </c>
      <c r="J5" s="10" t="inlineStr">
        <is>
          <t>Status</t>
        </is>
      </c>
    </row>
    <row r="6" ht="30" customHeight="1">
      <c r="A6" s="11" t="inlineStr">
        <is>
          <t>EQP-001</t>
        </is>
      </c>
      <c r="B6" s="11" t="inlineStr">
        <is>
          <t>Weighbridge 1 - 18m x 3m pit type</t>
        </is>
      </c>
      <c r="C6" s="11" t="inlineStr">
        <is>
          <t>Main gate</t>
        </is>
      </c>
      <c r="D6" s="11" t="inlineStr">
        <is>
          <t>AV-2211-08</t>
        </is>
      </c>
      <c r="E6" s="11" t="inlineStr">
        <is>
          <t>Avery Weigh-Tronix</t>
        </is>
      </c>
      <c r="F6" s="12" t="n">
        <v>46123</v>
      </c>
      <c r="G6" s="13" t="n">
        <v>12</v>
      </c>
      <c r="H6" s="14">
        <f>IF(F6="","",EDATE(F6,IF(G6="",12,G6)))</f>
        <v/>
      </c>
      <c r="I6" s="11" t="inlineStr">
        <is>
          <t>05_Compliance\Calibration\EQP-001\Cert-2026.pdf</t>
        </is>
      </c>
      <c r="J6" s="11" t="inlineStr">
        <is>
          <t>Active</t>
        </is>
      </c>
    </row>
  </sheetData>
  <conditionalFormatting sqref="H6:H2000">
    <cfRule type="expression" priority="1" dxfId="0" stopIfTrue="1">
      <formula>AND(ISNUMBER(H6),H6&lt;TODAY())</formula>
    </cfRule>
    <cfRule type="expression" priority="2" dxfId="1" stopIfTrue="1">
      <formula>AND(ISNUMBER(H6),H6&lt;=TODAY()+30)</formula>
    </cfRule>
  </conditionalFormatting>
  <dataValidations count="1">
    <dataValidation sqref="J6:J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  <col width="22" customWidth="1" min="4" max="4"/>
    <col width="22" customWidth="1" min="5" max="5"/>
    <col width="11" customWidth="1" min="6" max="6"/>
    <col width="12" customWidth="1" min="7" max="7"/>
    <col width="15" customWidth="1" min="8" max="8"/>
    <col width="12" customWidth="1" min="9" max="9"/>
    <col width="40" customWidth="1" min="10" max="10"/>
    <col width="12" customWidth="1" min="11" max="11"/>
    <col width="26" customWidth="1" min="12" max="12"/>
  </cols>
  <sheetData>
    <row r="1">
      <c r="A1" s="9" t="inlineStr">
        <is>
          <t>Permits, Licences &amp; Insurance</t>
        </is>
      </c>
    </row>
    <row r="2">
      <c r="A2" s="8" t="inlineStr">
        <is>
          <t>Every licence that would stop the site trading if it lapsed.</t>
        </is>
      </c>
    </row>
    <row r="3">
      <c r="A3" s="8" t="inlineStr">
        <is>
          <t>Reference: ISO 14001 6.1.3</t>
        </is>
      </c>
    </row>
    <row r="5" ht="30" customHeight="1">
      <c r="A5" s="10" t="inlineStr">
        <is>
          <t>PermitID *</t>
        </is>
      </c>
      <c r="B5" s="10" t="inlineStr">
        <is>
          <t>PermitType *</t>
        </is>
      </c>
      <c r="C5" s="10" t="inlineStr">
        <is>
          <t>Reference *</t>
        </is>
      </c>
      <c r="D5" s="10" t="inlineStr">
        <is>
          <t>Holder</t>
        </is>
      </c>
      <c r="E5" s="10" t="inlineStr">
        <is>
          <t>IssuingBody</t>
        </is>
      </c>
      <c r="F5" s="10" t="inlineStr">
        <is>
          <t>IssueDate</t>
        </is>
      </c>
      <c r="G5" s="10" t="inlineStr">
        <is>
          <t>ExpiryDate</t>
        </is>
      </c>
      <c r="H5" s="10" t="inlineStr">
        <is>
          <t>RenewalLeadDays</t>
        </is>
      </c>
      <c r="I5" s="10" t="inlineStr">
        <is>
          <t>AnnualCost</t>
        </is>
      </c>
      <c r="J5" s="10" t="inlineStr">
        <is>
          <t>DocumentPath</t>
        </is>
      </c>
      <c r="K5" s="10" t="inlineStr">
        <is>
          <t>Status *</t>
        </is>
      </c>
      <c r="L5" s="10" t="inlineStr">
        <is>
          <t>Notes</t>
        </is>
      </c>
    </row>
    <row r="6" ht="30" customHeight="1">
      <c r="A6" s="11" t="inlineStr">
        <is>
          <t>PMT-001</t>
        </is>
      </c>
      <c r="B6" s="11" t="inlineStr">
        <is>
          <t>Environmental Permit</t>
        </is>
      </c>
      <c r="C6" s="11" t="inlineStr">
        <is>
          <t>EPR/CB3456XY</t>
        </is>
      </c>
      <c r="D6" s="11" t="inlineStr">
        <is>
          <t>Acorn Recyclers Ltd</t>
        </is>
      </c>
      <c r="E6" s="11" t="inlineStr">
        <is>
          <t>Environment Agency</t>
        </is>
      </c>
      <c r="F6" s="12" t="n">
        <v>44348</v>
      </c>
      <c r="G6" s="12" t="inlineStr"/>
      <c r="H6" s="13" t="n">
        <v>90</v>
      </c>
      <c r="I6" s="17" t="n">
        <v>3200</v>
      </c>
      <c r="J6" s="11" t="inlineStr">
        <is>
          <t>05_Compliance\Permits\PMT-001 Environmental Permit.pdf</t>
        </is>
      </c>
      <c r="K6" s="11" t="inlineStr">
        <is>
          <t>Active</t>
        </is>
      </c>
      <c r="L6" s="15" t="inlineStr">
        <is>
          <t>Subsistence charge due annually in April.</t>
        </is>
      </c>
    </row>
  </sheetData>
  <conditionalFormatting sqref="G6:G2000">
    <cfRule type="expression" priority="1" dxfId="0" stopIfTrue="1">
      <formula>AND(ISNUMBER(G6),G6&lt;TODAY())</formula>
    </cfRule>
    <cfRule type="expression" priority="2" dxfId="1" stopIfTrue="1">
      <formula>AND(ISNUMBER(G6),G6&lt;=TODAY()+30)</formula>
    </cfRule>
  </conditionalFormatting>
  <dataValidations count="2">
    <dataValidation sqref="B6:B2000" showDropDown="0" showInputMessage="0" showErrorMessage="1" allowBlank="1" errorTitle="Not on the list" error="Pick one of the PermitType options. If you genuinely need a new one, add it on the _Lists sheet first." type="list">
      <formula1>=lst_PermitType</formula1>
    </dataValidation>
    <dataValidation sqref="K6:K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20" customWidth="1" min="5" max="5"/>
    <col width="44" customWidth="1" min="6" max="6"/>
    <col width="16" customWidth="1" min="7" max="7"/>
    <col width="14" customWidth="1" min="8" max="8"/>
    <col width="12" customWidth="1" min="9" max="9"/>
    <col width="13" customWidth="1" min="10" max="10"/>
    <col width="34" customWidth="1" min="11" max="11"/>
    <col width="34" customWidth="1" min="12" max="12"/>
    <col width="34" customWidth="1" min="13" max="13"/>
    <col width="12" customWidth="1" min="14" max="14"/>
    <col width="11" customWidth="1" min="15" max="15"/>
    <col width="18" customWidth="1" min="16" max="16"/>
  </cols>
  <sheetData>
    <row r="1">
      <c r="A1" s="9" t="inlineStr">
        <is>
          <t>Incidents, Near Misses &amp; RIDDOR</t>
        </is>
      </c>
    </row>
    <row r="2">
      <c r="A2" s="8" t="inlineStr">
        <is>
          <t>Health, safety and environmental events. Near misses matter as much as injuries.</t>
        </is>
      </c>
    </row>
    <row r="3">
      <c r="A3" s="8" t="inlineStr">
        <is>
          <t>Reference: ISO 45001 10.2 / RIDDOR 2013</t>
        </is>
      </c>
    </row>
    <row r="5" ht="30" customHeight="1">
      <c r="A5" s="10" t="inlineStr">
        <is>
          <t>IncidentID *</t>
        </is>
      </c>
      <c r="B5" s="10" t="inlineStr">
        <is>
          <t>IncidentDateTime *</t>
        </is>
      </c>
      <c r="C5" s="10" t="inlineStr">
        <is>
          <t>Type *</t>
        </is>
      </c>
      <c r="D5" s="10" t="inlineStr">
        <is>
          <t>Location *</t>
        </is>
      </c>
      <c r="E5" s="10" t="inlineStr">
        <is>
          <t>PersonInvolved</t>
        </is>
      </c>
      <c r="F5" s="10" t="inlineStr">
        <is>
          <t>Description *</t>
        </is>
      </c>
      <c r="G5" s="10" t="inlineStr">
        <is>
          <t>RIDDORReportable *</t>
        </is>
      </c>
      <c r="H5" s="10" t="inlineStr">
        <is>
          <t>RIDDORRef</t>
        </is>
      </c>
      <c r="I5" s="10" t="inlineStr">
        <is>
          <t>ReportedOn</t>
        </is>
      </c>
      <c r="J5" s="10" t="inlineStr">
        <is>
          <t>LostTimeDays</t>
        </is>
      </c>
      <c r="K5" s="10" t="inlineStr">
        <is>
          <t>ImmediateAction</t>
        </is>
      </c>
      <c r="L5" s="10" t="inlineStr">
        <is>
          <t>RootCause</t>
        </is>
      </c>
      <c r="M5" s="10" t="inlineStr">
        <is>
          <t>ActionsTaken</t>
        </is>
      </c>
      <c r="N5" s="10" t="inlineStr">
        <is>
          <t>LinkedNCRID</t>
        </is>
      </c>
      <c r="O5" s="10" t="inlineStr">
        <is>
          <t>ClosedOn</t>
        </is>
      </c>
      <c r="P5" s="10" t="inlineStr">
        <is>
          <t>Status *</t>
        </is>
      </c>
    </row>
    <row r="6" ht="30" customHeight="1">
      <c r="A6" s="11" t="inlineStr">
        <is>
          <t>INC-0022</t>
        </is>
      </c>
      <c r="B6" s="18" t="n">
        <v>46185.46180555555</v>
      </c>
      <c r="C6" s="11" t="inlineStr">
        <is>
          <t>Near Miss</t>
        </is>
      </c>
      <c r="D6" s="11" t="inlineStr">
        <is>
          <t>Tipping bay 2</t>
        </is>
      </c>
      <c r="E6" s="11" t="inlineStr">
        <is>
          <t>A Pickering</t>
        </is>
      </c>
      <c r="F6" s="15" t="inlineStr">
        <is>
          <t>Skip door swung open during tipping; no one in the exclusion zone.</t>
        </is>
      </c>
      <c r="G6" s="11" t="inlineStr">
        <is>
          <t>No</t>
        </is>
      </c>
      <c r="H6" s="11" t="inlineStr"/>
      <c r="I6" s="12" t="inlineStr"/>
      <c r="J6" s="13" t="n"/>
      <c r="K6" s="15" t="inlineStr">
        <is>
          <t>Bay closed and container quarantined.</t>
        </is>
      </c>
      <c r="L6" s="15" t="inlineStr">
        <is>
          <t>Door catch worn beyond tolerance and not picked up on the pre-use check.</t>
        </is>
      </c>
      <c r="M6" s="15" t="inlineStr">
        <is>
          <t>Catch replaced; pre-use check sheet amended to call out door catches explicitly.</t>
        </is>
      </c>
      <c r="N6" s="11" t="inlineStr">
        <is>
          <t>NCR-0029</t>
        </is>
      </c>
      <c r="O6" s="12" t="n">
        <v>46200</v>
      </c>
      <c r="P6" s="11" t="inlineStr">
        <is>
          <t>Closed</t>
        </is>
      </c>
    </row>
  </sheetData>
  <dataValidations count="3">
    <dataValidation sqref="C6:C2000" showDropDown="0" showInputMessage="0" showErrorMessage="1" allowBlank="1" errorTitle="Not on the list" error="Pick one of the IncidentType options. If you genuinely need a new one, add it on the _Lists sheet first." type="list">
      <formula1>=lst_IncidentType</formula1>
    </dataValidation>
    <dataValidation sqref="G6:G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  <dataValidation sqref="P6:P2000" showDropDown="0" showInputMessage="0" showErrorMessage="1" allowBlank="1" errorTitle="Not on the list" error="Pick one of the OpenClosed options. If you genuinely need a new one, add it on the _Lists sheet first." type="list">
      <formula1>=lst_OpenClosed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44" customWidth="1" min="4" max="4"/>
    <col width="44" customWidth="1" min="5" max="5"/>
    <col width="34" customWidth="1" min="6" max="6"/>
    <col width="18" customWidth="1" min="7" max="7"/>
    <col width="13" customWidth="1" min="8" max="8"/>
    <col width="13" customWidth="1" min="9" max="9"/>
    <col width="12" customWidth="1" min="10" max="10"/>
    <col width="18" customWidth="1" min="11" max="11"/>
  </cols>
  <sheetData>
    <row r="1">
      <c r="A1" s="9" t="inlineStr">
        <is>
          <t>Legal &amp; Other Requirements</t>
        </is>
      </c>
    </row>
    <row r="2">
      <c r="A2" s="8" t="inlineStr">
        <is>
          <t>What law applies to us, how we comply, and where the evidence is.</t>
        </is>
      </c>
    </row>
    <row r="3">
      <c r="A3" s="8" t="inlineStr">
        <is>
          <t>Reference: ISO 14001 6.1.3 / 45001 6.1.3</t>
        </is>
      </c>
    </row>
    <row r="5" ht="30" customHeight="1">
      <c r="A5" s="10" t="inlineStr">
        <is>
          <t>RegID *</t>
        </is>
      </c>
      <c r="B5" s="10" t="inlineStr">
        <is>
          <t>Legislation *</t>
        </is>
      </c>
      <c r="C5" s="10" t="inlineStr">
        <is>
          <t>Applicability *</t>
        </is>
      </c>
      <c r="D5" s="10" t="inlineStr">
        <is>
          <t>Requirement *</t>
        </is>
      </c>
      <c r="E5" s="10" t="inlineStr">
        <is>
          <t>HowWeComply *</t>
        </is>
      </c>
      <c r="F5" s="10" t="inlineStr">
        <is>
          <t>Evidence</t>
        </is>
      </c>
      <c r="G5" s="10" t="inlineStr">
        <is>
          <t>Owner</t>
        </is>
      </c>
      <c r="H5" s="10" t="inlineStr">
        <is>
          <t>LastReviewed *</t>
        </is>
      </c>
      <c r="I5" s="10" t="inlineStr">
        <is>
          <t>ReviewMonths</t>
        </is>
      </c>
      <c r="J5" s="10" t="inlineStr">
        <is>
          <t>NextReview</t>
        </is>
      </c>
      <c r="K5" s="10" t="inlineStr">
        <is>
          <t>ComplianceStatus *</t>
        </is>
      </c>
    </row>
    <row r="6" ht="30" customHeight="1">
      <c r="A6" s="11" t="inlineStr">
        <is>
          <t>LEG-004</t>
        </is>
      </c>
      <c r="B6" s="11" t="inlineStr">
        <is>
          <t>Environmental Protection Act 1990, s.34 (Duty of Care)</t>
        </is>
      </c>
      <c r="C6" s="11" t="inlineStr">
        <is>
          <t>All waste movements</t>
        </is>
      </c>
      <c r="D6" s="15" t="inlineStr">
        <is>
          <t>Waste must be transferred only to an authorised person, accompanied by a transfer note kept for two years.</t>
        </is>
      </c>
      <c r="E6" s="15" t="inlineStr">
        <is>
          <t>Outlet permits verified annually and recorded in tblOutlets; WTN raised for every movement and retained per tblTransferNotes.RetentionUntil.</t>
        </is>
      </c>
      <c r="F6" s="11" t="inlineStr">
        <is>
          <t>tblTransferNotes / tblOutlets</t>
        </is>
      </c>
      <c r="G6" s="11" t="inlineStr">
        <is>
          <t>Compliance Manager</t>
        </is>
      </c>
      <c r="H6" s="12" t="n">
        <v>46037</v>
      </c>
      <c r="I6" s="13" t="n">
        <v>12</v>
      </c>
      <c r="J6" s="14">
        <f>IF(H6="","",EDATE(H6,IF(I6="",12,I6)))</f>
        <v/>
      </c>
      <c r="K6" s="11" t="inlineStr">
        <is>
          <t>Compliant</t>
        </is>
      </c>
    </row>
  </sheetData>
  <conditionalFormatting sqref="J6:J2000">
    <cfRule type="expression" priority="1" dxfId="0" stopIfTrue="1">
      <formula>AND(ISNUMBER(J6),J6&lt;TODAY())</formula>
    </cfRule>
    <cfRule type="expression" priority="2" dxfId="1" stopIfTrue="1">
      <formula>AND(ISNUMBER(J6),J6&lt;=TODAY()+30)</formula>
    </cfRule>
  </conditionalFormatting>
  <dataValidations count="1">
    <dataValidation sqref="K6:K2000" showDropDown="0" showInputMessage="0" showErrorMessage="1" allowBlank="1" errorTitle="Not on the list" error="Pick one of the Compliance options. If you genuinely need a new one, add it on the _Lists sheet first." type="list">
      <formula1>=lst_Compliance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28" customWidth="1" min="4" max="4"/>
    <col width="11" customWidth="1" min="5" max="5"/>
    <col width="10" customWidth="1" min="6" max="6"/>
    <col width="13" customWidth="1" min="7" max="7"/>
    <col width="11" customWidth="1" min="8" max="8"/>
    <col width="12" customWidth="1" min="9" max="9"/>
    <col width="18" customWidth="1" min="10" max="10"/>
    <col width="18" customWidth="1" min="11" max="11"/>
    <col width="34" customWidth="1" min="12" max="12"/>
  </cols>
  <sheetData>
    <row r="1">
      <c r="A1" s="9" t="inlineStr">
        <is>
          <t>Objectives &amp; Targets</t>
        </is>
      </c>
    </row>
    <row r="2">
      <c r="A2" s="8" t="inlineStr">
        <is>
          <t>Measurable objectives per standard, with the KPI that proves them.</t>
        </is>
      </c>
    </row>
    <row r="3">
      <c r="A3" s="8" t="inlineStr">
        <is>
          <t>Reference: ISO 9001 6.2 / 14001 6.2 / 45001 6.2</t>
        </is>
      </c>
    </row>
    <row r="5" ht="30" customHeight="1">
      <c r="A5" s="10" t="inlineStr">
        <is>
          <t>ObjID *</t>
        </is>
      </c>
      <c r="B5" s="10" t="inlineStr">
        <is>
          <t>Standard *</t>
        </is>
      </c>
      <c r="C5" s="10" t="inlineStr">
        <is>
          <t>Objective *</t>
        </is>
      </c>
      <c r="D5" s="10" t="inlineStr">
        <is>
          <t>KPI *</t>
        </is>
      </c>
      <c r="E5" s="10" t="inlineStr">
        <is>
          <t>Baseline</t>
        </is>
      </c>
      <c r="F5" s="10" t="inlineStr">
        <is>
          <t>Target *</t>
        </is>
      </c>
      <c r="G5" s="10" t="inlineStr">
        <is>
          <t>CurrentValue</t>
        </is>
      </c>
      <c r="H5" s="10" t="inlineStr">
        <is>
          <t>Progress</t>
        </is>
      </c>
      <c r="I5" s="10" t="inlineStr">
        <is>
          <t>TargetDate *</t>
        </is>
      </c>
      <c r="J5" s="10" t="inlineStr">
        <is>
          <t>Owner *</t>
        </is>
      </c>
      <c r="K5" s="10" t="inlineStr">
        <is>
          <t>Status *</t>
        </is>
      </c>
      <c r="L5" s="10" t="inlineStr">
        <is>
          <t>ReviewNotes</t>
        </is>
      </c>
    </row>
    <row r="6" ht="30" customHeight="1">
      <c r="A6" s="11" t="inlineStr">
        <is>
          <t>OBJ-003</t>
        </is>
      </c>
      <c r="B6" s="11" t="inlineStr">
        <is>
          <t>ISO 14001</t>
        </is>
      </c>
      <c r="C6" s="11" t="inlineStr">
        <is>
          <t>Increase diversion from landfill</t>
        </is>
      </c>
      <c r="D6" s="11" t="inlineStr">
        <is>
          <t>Recovery rate %</t>
        </is>
      </c>
      <c r="E6" s="19" t="n">
        <v>0.86</v>
      </c>
      <c r="F6" s="19" t="n">
        <v>0.92</v>
      </c>
      <c r="G6" s="19" t="n">
        <v>0.885</v>
      </c>
      <c r="H6" s="20">
        <f>IF(OR(F6="",F6=0,G6=""),"",G6/F6)</f>
        <v/>
      </c>
      <c r="I6" s="12" t="n">
        <v>46387</v>
      </c>
      <c r="J6" s="11" t="inlineStr">
        <is>
          <t>Operations Manager</t>
        </is>
      </c>
      <c r="K6" s="11" t="inlineStr">
        <is>
          <t>In Progress</t>
        </is>
      </c>
      <c r="L6" s="15" t="inlineStr">
        <is>
          <t>Picking line upgrade due Q4.</t>
        </is>
      </c>
    </row>
  </sheetData>
  <dataValidations count="2">
    <dataValidation sqref="B6:B2000" showDropDown="0" showInputMessage="0" showErrorMessage="1" allowBlank="1" errorTitle="Not on the list" error="Pick one of the Standard options. If you genuinely need a new one, add it on the _Lists sheet first." type="list">
      <formula1>=lst_Standard</formula1>
    </dataValidation>
    <dataValidation sqref="K6:K2000" showDropDown="0" showInputMessage="0" showErrorMessage="1" allowBlank="1" errorTitle="Not on the list" error="Pick one of the OpenClosed options. If you genuinely need a new one, add it on the _Lists sheet first." type="list">
      <formula1>=lst_OpenClosed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4" customWidth="1" min="4" max="4"/>
    <col width="11" customWidth="1" min="5" max="5"/>
    <col width="9" customWidth="1" min="6" max="6"/>
    <col width="11" customWidth="1" min="7" max="7"/>
    <col width="44" customWidth="1" min="8" max="8"/>
    <col width="13" customWidth="1" min="9" max="9"/>
    <col width="11" customWidth="1" min="10" max="10"/>
    <col width="10" customWidth="1" min="11" max="11"/>
    <col width="18" customWidth="1" min="12" max="12"/>
    <col width="12" customWidth="1" min="13" max="13"/>
    <col width="14" customWidth="1" min="14" max="14"/>
  </cols>
  <sheetData>
    <row r="1">
      <c r="A1" s="9" t="inlineStr">
        <is>
          <t>Risks &amp; Opportunities</t>
        </is>
      </c>
    </row>
    <row r="2">
      <c r="A2" s="8" t="inlineStr">
        <is>
          <t>Clause 6.1 risk register, scored before and after controls.</t>
        </is>
      </c>
    </row>
    <row r="3">
      <c r="A3" s="8" t="inlineStr">
        <is>
          <t>Reference: ISO 9001 6.1 / 14001 6.1 / 45001 6.1</t>
        </is>
      </c>
    </row>
    <row r="5" ht="30" customHeight="1">
      <c r="A5" s="10" t="inlineStr">
        <is>
          <t>RiskID *</t>
        </is>
      </c>
      <c r="B5" s="10" t="inlineStr">
        <is>
          <t>Type *</t>
        </is>
      </c>
      <c r="C5" s="10" t="inlineStr">
        <is>
          <t>Category *</t>
        </is>
      </c>
      <c r="D5" s="10" t="inlineStr">
        <is>
          <t>Description *</t>
        </is>
      </c>
      <c r="E5" s="10" t="inlineStr">
        <is>
          <t>Likelihood *</t>
        </is>
      </c>
      <c r="F5" s="10" t="inlineStr">
        <is>
          <t>Impact *</t>
        </is>
      </c>
      <c r="G5" s="10" t="inlineStr">
        <is>
          <t>GrossScore</t>
        </is>
      </c>
      <c r="H5" s="10" t="inlineStr">
        <is>
          <t>Controls *</t>
        </is>
      </c>
      <c r="I5" s="10" t="inlineStr">
        <is>
          <t>ResLikelihood</t>
        </is>
      </c>
      <c r="J5" s="10" t="inlineStr">
        <is>
          <t>ResImpact</t>
        </is>
      </c>
      <c r="K5" s="10" t="inlineStr">
        <is>
          <t>NetScore</t>
        </is>
      </c>
      <c r="L5" s="10" t="inlineStr">
        <is>
          <t>Owner *</t>
        </is>
      </c>
      <c r="M5" s="10" t="inlineStr">
        <is>
          <t>ReviewDate *</t>
        </is>
      </c>
      <c r="N5" s="10" t="inlineStr">
        <is>
          <t>Status *</t>
        </is>
      </c>
    </row>
    <row r="6" ht="30" customHeight="1">
      <c r="A6" s="11" t="inlineStr">
        <is>
          <t>RSK-009</t>
        </is>
      </c>
      <c r="B6" s="11" t="inlineStr">
        <is>
          <t>Risk</t>
        </is>
      </c>
      <c r="C6" s="11" t="inlineStr">
        <is>
          <t>Environmental</t>
        </is>
      </c>
      <c r="D6" s="15" t="inlineStr">
        <is>
          <t>Fire in stored combustible waste exceeding permitted stack sizes.</t>
        </is>
      </c>
      <c r="E6" s="11" t="inlineStr">
        <is>
          <t>2</t>
        </is>
      </c>
      <c r="F6" s="11" t="inlineStr">
        <is>
          <t>5</t>
        </is>
      </c>
      <c r="G6" s="16">
        <f>IF(OR(E6="",F6=""),"",VALUE(E6)*VALUE(F6))</f>
        <v/>
      </c>
      <c r="H6" s="15" t="inlineStr">
        <is>
          <t>Stack heights measured weekly; 6m fire breaks; thermal camera sweep; FPP reviewed annually.</t>
        </is>
      </c>
      <c r="I6" s="11" t="inlineStr">
        <is>
          <t>1</t>
        </is>
      </c>
      <c r="J6" s="11" t="inlineStr">
        <is>
          <t>4</t>
        </is>
      </c>
      <c r="K6" s="16">
        <f>IF(OR(I6="",J6=""),"",VALUE(I6)*VALUE(J6))</f>
        <v/>
      </c>
      <c r="L6" s="11" t="inlineStr">
        <is>
          <t>Site Manager</t>
        </is>
      </c>
      <c r="M6" s="12" t="n">
        <v>46296</v>
      </c>
      <c r="N6" s="11" t="inlineStr">
        <is>
          <t>Open</t>
        </is>
      </c>
    </row>
  </sheetData>
  <dataValidations count="6">
    <dataValidation sqref="B6:B2000" showDropDown="0" showInputMessage="0" showErrorMessage="1" allowBlank="1" errorTitle="Not on the list" error="Pick one of the RiskType options. If you genuinely need a new one, add it on the _Lists sheet first." type="list">
      <formula1>=lst_RiskType</formula1>
    </dataValidation>
    <dataValidation sqref="E6:E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F6:F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I6:I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J6:J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N6:N2000" showDropDown="0" showInputMessage="0" showErrorMessage="1" allowBlank="1" errorTitle="Not on the list" error="Pick one of the OpenClosed options. If you genuinely need a new one, add it on the _Lists sheet first." type="list">
      <formula1>=lst_OpenClosed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34" customWidth="1" min="4" max="4"/>
    <col width="46" customWidth="1" min="5" max="5"/>
    <col width="46" customWidth="1" min="6" max="6"/>
    <col width="36" customWidth="1" min="7" max="7"/>
    <col width="40" customWidth="1" min="8" max="8"/>
    <col width="14" customWidth="1" min="9" max="9"/>
  </cols>
  <sheetData>
    <row r="1">
      <c r="A1" s="9" t="inlineStr">
        <is>
          <t>Management Review</t>
        </is>
      </c>
    </row>
    <row r="2">
      <c r="A2" s="8" t="inlineStr">
        <is>
          <t>Clause 9.3 review meetings, their inputs and their outputs.</t>
        </is>
      </c>
    </row>
    <row r="3">
      <c r="A3" s="8" t="inlineStr">
        <is>
          <t>Reference: ISO 9001 9.3</t>
        </is>
      </c>
    </row>
    <row r="5" ht="30" customHeight="1">
      <c r="A5" s="10" t="inlineStr">
        <is>
          <t>MRID *</t>
        </is>
      </c>
      <c r="B5" s="10" t="inlineStr">
        <is>
          <t>ReviewDate *</t>
        </is>
      </c>
      <c r="C5" s="10" t="inlineStr">
        <is>
          <t>Chair *</t>
        </is>
      </c>
      <c r="D5" s="10" t="inlineStr">
        <is>
          <t>Attendees *</t>
        </is>
      </c>
      <c r="E5" s="10" t="inlineStr">
        <is>
          <t>InputsCovered *</t>
        </is>
      </c>
      <c r="F5" s="10" t="inlineStr">
        <is>
          <t>Decisions *</t>
        </is>
      </c>
      <c r="G5" s="10" t="inlineStr">
        <is>
          <t>ActionsRaised</t>
        </is>
      </c>
      <c r="H5" s="10" t="inlineStr">
        <is>
          <t>MinutesPath</t>
        </is>
      </c>
      <c r="I5" s="10" t="inlineStr">
        <is>
          <t>NextReviewDue</t>
        </is>
      </c>
    </row>
    <row r="6" ht="30" customHeight="1">
      <c r="A6" s="11" t="inlineStr">
        <is>
          <t>MR-2026-1</t>
        </is>
      </c>
      <c r="B6" s="12" t="n">
        <v>46057</v>
      </c>
      <c r="C6" s="11" t="inlineStr">
        <is>
          <t>Managing Director</t>
        </is>
      </c>
      <c r="D6" s="15" t="inlineStr">
        <is>
          <t>MD, Operations Manager, Compliance Manager, Transport Manager</t>
        </is>
      </c>
      <c r="E6" s="15" t="inlineStr">
        <is>
          <t>Audit programme, KPI pack, NCR log, customer complaints, legal register, objectives.</t>
        </is>
      </c>
      <c r="F6" s="15" t="inlineStr">
        <is>
          <t>Approved picking line capital spend; raised diversion target from 90% to 92%.</t>
        </is>
      </c>
      <c r="G6" s="15" t="inlineStr">
        <is>
          <t>OBJ-003 target revised; AUD-014 added to programme.</t>
        </is>
      </c>
      <c r="H6" s="11" t="inlineStr">
        <is>
          <t>05_Compliance\ManagementReview\MR-2026-1 Minutes.docx</t>
        </is>
      </c>
      <c r="I6" s="12" t="n">
        <v>46238</v>
      </c>
    </row>
  </sheetData>
  <conditionalFormatting sqref="I6:I2000">
    <cfRule type="expression" priority="1" dxfId="0" stopIfTrue="1">
      <formula>AND(ISNUMBER(I6),I6&lt;TODAY())</formula>
    </cfRule>
    <cfRule type="expression" priority="2" dxfId="1" stopIfTrue="1">
      <formula>AND(ISNUMBER(I6),I6&lt;=TODAY()+30)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1" customWidth="1" min="4" max="4"/>
    <col width="13" customWidth="1" min="5" max="5"/>
    <col width="13" customWidth="1" min="6" max="6"/>
    <col width="15" customWidth="1" min="7" max="7"/>
    <col width="11" customWidth="1" min="8" max="8"/>
    <col width="10" customWidth="1" min="9" max="9"/>
    <col width="11" customWidth="1" min="10" max="10"/>
    <col width="14" customWidth="1" min="11" max="11"/>
    <col width="18" customWidth="1" min="12" max="12"/>
    <col width="40" customWidth="1" min="13" max="13"/>
    <col width="13" customWidth="1" min="14" max="14"/>
  </cols>
  <sheetData>
    <row r="1">
      <c r="A1" s="9" t="inlineStr">
        <is>
          <t>Supplier Evaluation</t>
        </is>
      </c>
    </row>
    <row r="2">
      <c r="A2" s="8" t="inlineStr">
        <is>
          <t>Periodic scoring of approved suppliers. Feeds the approval status in tblSuppliers.</t>
        </is>
      </c>
    </row>
    <row r="3">
      <c r="A3" s="8" t="inlineStr">
        <is>
          <t>Reference: ISO 9001 8.4.1</t>
        </is>
      </c>
    </row>
    <row r="5" ht="30" customHeight="1">
      <c r="A5" s="10" t="inlineStr">
        <is>
          <t>EvalID *</t>
        </is>
      </c>
      <c r="B5" s="10" t="inlineStr">
        <is>
          <t>SupplierID *</t>
        </is>
      </c>
      <c r="C5" s="10" t="inlineStr">
        <is>
          <t>SupplierName</t>
        </is>
      </c>
      <c r="D5" s="10" t="inlineStr">
        <is>
          <t>EvalDate *</t>
        </is>
      </c>
      <c r="E5" s="10" t="inlineStr">
        <is>
          <t>ScoreQuality *</t>
        </is>
      </c>
      <c r="F5" s="10" t="inlineStr">
        <is>
          <t>ScoreDelivery *</t>
        </is>
      </c>
      <c r="G5" s="10" t="inlineStr">
        <is>
          <t>ScoreCompliance *</t>
        </is>
      </c>
      <c r="H5" s="10" t="inlineStr">
        <is>
          <t>ScorePrice *</t>
        </is>
      </c>
      <c r="I5" s="10" t="inlineStr">
        <is>
          <t>ScoreHSE *</t>
        </is>
      </c>
      <c r="J5" s="10" t="inlineStr">
        <is>
          <t>TotalScore</t>
        </is>
      </c>
      <c r="K5" s="10" t="inlineStr">
        <is>
          <t>Outcome</t>
        </is>
      </c>
      <c r="L5" s="10" t="inlineStr">
        <is>
          <t>Reviewer *</t>
        </is>
      </c>
      <c r="M5" s="10" t="inlineStr">
        <is>
          <t>Comments</t>
        </is>
      </c>
      <c r="N5" s="10" t="inlineStr">
        <is>
          <t>NextEvalDue</t>
        </is>
      </c>
    </row>
    <row r="6" ht="30" customHeight="1">
      <c r="A6" s="11" t="inlineStr">
        <is>
          <t>EVL-0015</t>
        </is>
      </c>
      <c r="B6" s="11" t="inlineStr">
        <is>
          <t>SUP-0001</t>
        </is>
      </c>
      <c r="C6" s="11" t="inlineStr">
        <is>
          <t>Tunstall Haulage Ltd</t>
        </is>
      </c>
      <c r="D6" s="12" t="n">
        <v>46063</v>
      </c>
      <c r="E6" s="11" t="inlineStr">
        <is>
          <t>4</t>
        </is>
      </c>
      <c r="F6" s="11" t="inlineStr">
        <is>
          <t>5</t>
        </is>
      </c>
      <c r="G6" s="11" t="inlineStr">
        <is>
          <t>5</t>
        </is>
      </c>
      <c r="H6" s="11" t="inlineStr">
        <is>
          <t>3</t>
        </is>
      </c>
      <c r="I6" s="11" t="inlineStr">
        <is>
          <t>4</t>
        </is>
      </c>
      <c r="J6" s="16">
        <f>IF(E6="","",VALUE(E6)+VALUE(F6)+VALUE(G6)+VALUE(H6)+VALUE(I6))</f>
        <v/>
      </c>
      <c r="K6" s="21">
        <f>IF(J6="","",IF(J6&gt;=20,"Approved",IF(J6&gt;=14,"Provisional","Under Review")))</f>
        <v/>
      </c>
      <c r="L6" s="11" t="inlineStr">
        <is>
          <t>Compliance Manager</t>
        </is>
      </c>
      <c r="M6" s="15" t="inlineStr">
        <is>
          <t>Reliable on RoRo overflow; rates above market.</t>
        </is>
      </c>
      <c r="N6" s="12" t="n">
        <v>46428</v>
      </c>
    </row>
  </sheetData>
  <conditionalFormatting sqref="N6:N2000">
    <cfRule type="expression" priority="1" dxfId="0" stopIfTrue="1">
      <formula>AND(ISNUMBER(N6),N6&lt;TODAY())</formula>
    </cfRule>
    <cfRule type="expression" priority="2" dxfId="1" stopIfTrue="1">
      <formula>AND(ISNUMBER(N6),N6&lt;=TODAY()+30)</formula>
    </cfRule>
  </conditionalFormatting>
  <dataValidations count="5">
    <dataValidation sqref="E6:E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F6:F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G6:G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H6:H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  <dataValidation sqref="I6:I2000" showDropDown="0" showInputMessage="0" showErrorMessage="1" allowBlank="1" errorTitle="Not on the list" error="Pick one of the LikertScore options. If you genuinely need a new one, add it on the _Lists sheet first." type="list">
      <formula1>=lst_LikertScore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9AAFA3"/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25" customWidth="1" min="5" max="5"/>
    <col width="14" customWidth="1" min="6" max="6"/>
    <col width="21" customWidth="1" min="7" max="7"/>
    <col width="18" customWidth="1" min="8" max="8"/>
    <col width="24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9" t="inlineStr">
        <is>
          <t>Validation pick lists</t>
        </is>
      </c>
    </row>
    <row r="2" ht="28" customHeight="1">
      <c r="A2" s="22" t="inlineStr">
        <is>
          <t>These columns drive every dropdown in this workbook. To add an option, insert a row INSIDE an existing block (right-click a cell in the middle of the list &gt; Insert &gt; Entire row) so the named range grows with it. Do not add to the bottom - a name added below the block is not picked up.</t>
        </is>
      </c>
    </row>
    <row r="4">
      <c r="A4" s="6" t="inlineStr">
        <is>
          <t>AuditType</t>
        </is>
      </c>
      <c r="B4" s="6" t="inlineStr">
        <is>
          <t>Compliance</t>
        </is>
      </c>
      <c r="C4" s="6" t="inlineStr">
        <is>
          <t>DocStatus</t>
        </is>
      </c>
      <c r="D4" s="6" t="inlineStr">
        <is>
          <t>DocType</t>
        </is>
      </c>
      <c r="E4" s="6" t="inlineStr">
        <is>
          <t>IncidentType</t>
        </is>
      </c>
      <c r="F4" s="6" t="inlineStr">
        <is>
          <t>LikertScore</t>
        </is>
      </c>
      <c r="G4" s="6" t="inlineStr">
        <is>
          <t>NCRSource</t>
        </is>
      </c>
      <c r="H4" s="6" t="inlineStr">
        <is>
          <t>NCRType</t>
        </is>
      </c>
      <c r="I4" s="6" t="inlineStr">
        <is>
          <t>OpenClosed</t>
        </is>
      </c>
      <c r="J4" s="6" t="inlineStr">
        <is>
          <t>PermitType</t>
        </is>
      </c>
      <c r="K4" s="6" t="inlineStr">
        <is>
          <t>RecordStatus</t>
        </is>
      </c>
      <c r="L4" s="6" t="inlineStr">
        <is>
          <t>RiskType</t>
        </is>
      </c>
      <c r="M4" s="6" t="inlineStr">
        <is>
          <t>Severity</t>
        </is>
      </c>
      <c r="N4" s="6" t="inlineStr">
        <is>
          <t>Standard</t>
        </is>
      </c>
      <c r="O4" s="6" t="inlineStr">
        <is>
          <t>YesNo</t>
        </is>
      </c>
    </row>
    <row r="5">
      <c r="A5" s="23" t="inlineStr">
        <is>
          <t>Internal</t>
        </is>
      </c>
      <c r="B5" s="23" t="inlineStr">
        <is>
          <t>Compliant</t>
        </is>
      </c>
      <c r="C5" s="23" t="inlineStr">
        <is>
          <t>Draft</t>
        </is>
      </c>
      <c r="D5" s="23" t="inlineStr">
        <is>
          <t>Policy</t>
        </is>
      </c>
      <c r="E5" s="23" t="inlineStr">
        <is>
          <t>Injury</t>
        </is>
      </c>
      <c r="F5" s="23" t="inlineStr">
        <is>
          <t>1</t>
        </is>
      </c>
      <c r="G5" s="23" t="inlineStr">
        <is>
          <t>Internal Audit</t>
        </is>
      </c>
      <c r="H5" s="23" t="inlineStr">
        <is>
          <t>Quality</t>
        </is>
      </c>
      <c r="I5" s="23" t="inlineStr">
        <is>
          <t>Open</t>
        </is>
      </c>
      <c r="J5" s="23" t="inlineStr">
        <is>
          <t>Environmental Permit</t>
        </is>
      </c>
      <c r="K5" s="23" t="inlineStr">
        <is>
          <t>Active</t>
        </is>
      </c>
      <c r="L5" s="23" t="inlineStr">
        <is>
          <t>Risk</t>
        </is>
      </c>
      <c r="M5" s="23" t="inlineStr">
        <is>
          <t>Major</t>
        </is>
      </c>
      <c r="N5" s="23" t="inlineStr">
        <is>
          <t>ISO 9001</t>
        </is>
      </c>
      <c r="O5" s="23" t="inlineStr">
        <is>
          <t>Yes</t>
        </is>
      </c>
    </row>
    <row r="6">
      <c r="A6" s="23" t="inlineStr">
        <is>
          <t>Certification</t>
        </is>
      </c>
      <c r="B6" s="23" t="inlineStr">
        <is>
          <t>Partially Compliant</t>
        </is>
      </c>
      <c r="C6" s="23" t="inlineStr">
        <is>
          <t>In Review</t>
        </is>
      </c>
      <c r="D6" s="23" t="inlineStr">
        <is>
          <t>Manual</t>
        </is>
      </c>
      <c r="E6" s="23" t="inlineStr">
        <is>
          <t>Near Miss</t>
        </is>
      </c>
      <c r="F6" s="23" t="inlineStr">
        <is>
          <t>2</t>
        </is>
      </c>
      <c r="G6" s="23" t="inlineStr">
        <is>
          <t>External Audit</t>
        </is>
      </c>
      <c r="H6" s="23" t="inlineStr">
        <is>
          <t>Environmental</t>
        </is>
      </c>
      <c r="I6" s="23" t="inlineStr">
        <is>
          <t>In Progress</t>
        </is>
      </c>
      <c r="J6" s="23" t="inlineStr">
        <is>
          <t>Waste Carrier Licence</t>
        </is>
      </c>
      <c r="K6" s="23" t="inlineStr">
        <is>
          <t>Inactive</t>
        </is>
      </c>
      <c r="L6" s="23" t="inlineStr">
        <is>
          <t>Opportunity</t>
        </is>
      </c>
      <c r="M6" s="23" t="inlineStr">
        <is>
          <t>Minor</t>
        </is>
      </c>
      <c r="N6" s="23" t="inlineStr">
        <is>
          <t>ISO 14001</t>
        </is>
      </c>
      <c r="O6" s="23" t="inlineStr">
        <is>
          <t>No</t>
        </is>
      </c>
    </row>
    <row r="7">
      <c r="A7" s="23" t="inlineStr">
        <is>
          <t>Surveillance</t>
        </is>
      </c>
      <c r="B7" s="23" t="inlineStr">
        <is>
          <t>Non-Compliant</t>
        </is>
      </c>
      <c r="C7" s="23" t="inlineStr">
        <is>
          <t>Issued</t>
        </is>
      </c>
      <c r="D7" s="23" t="inlineStr">
        <is>
          <t>Procedure</t>
        </is>
      </c>
      <c r="E7" s="23" t="inlineStr">
        <is>
          <t>Environmental</t>
        </is>
      </c>
      <c r="F7" s="23" t="inlineStr">
        <is>
          <t>3</t>
        </is>
      </c>
      <c r="G7" s="23" t="inlineStr">
        <is>
          <t>Customer Complaint</t>
        </is>
      </c>
      <c r="H7" s="23" t="inlineStr">
        <is>
          <t>Health &amp; Safety</t>
        </is>
      </c>
      <c r="I7" s="23" t="inlineStr">
        <is>
          <t>Awaiting Verification</t>
        </is>
      </c>
      <c r="J7" s="23" t="inlineStr">
        <is>
          <t>Waste Broker Registration</t>
        </is>
      </c>
      <c r="K7" s="23" t="inlineStr">
        <is>
          <t>Archived</t>
        </is>
      </c>
      <c r="M7" s="23" t="inlineStr">
        <is>
          <t>Observation</t>
        </is>
      </c>
      <c r="N7" s="23" t="inlineStr">
        <is>
          <t>ISO 45001</t>
        </is>
      </c>
    </row>
    <row r="8">
      <c r="A8" s="23" t="inlineStr">
        <is>
          <t>Regulator</t>
        </is>
      </c>
      <c r="B8" s="23" t="inlineStr">
        <is>
          <t>Not Applicable</t>
        </is>
      </c>
      <c r="C8" s="23" t="inlineStr">
        <is>
          <t>Superseded</t>
        </is>
      </c>
      <c r="D8" s="23" t="inlineStr">
        <is>
          <t>Work Instruction</t>
        </is>
      </c>
      <c r="E8" s="23" t="inlineStr">
        <is>
          <t>Spill</t>
        </is>
      </c>
      <c r="F8" s="23" t="inlineStr">
        <is>
          <t>4</t>
        </is>
      </c>
      <c r="G8" s="23" t="inlineStr">
        <is>
          <t>Driver Report</t>
        </is>
      </c>
      <c r="H8" s="23" t="inlineStr">
        <is>
          <t>Compliance</t>
        </is>
      </c>
      <c r="I8" s="23" t="inlineStr">
        <is>
          <t>Closed</t>
        </is>
      </c>
      <c r="J8" s="23" t="inlineStr">
        <is>
          <t>Operator Licence</t>
        </is>
      </c>
      <c r="N8" s="23" t="inlineStr">
        <is>
          <t>Multiple</t>
        </is>
      </c>
    </row>
    <row r="9">
      <c r="A9" s="23" t="inlineStr">
        <is>
          <t>Customer</t>
        </is>
      </c>
      <c r="B9" s="23" t="inlineStr">
        <is>
          <t>Under Assessment</t>
        </is>
      </c>
      <c r="C9" s="23" t="inlineStr">
        <is>
          <t>Withdrawn</t>
        </is>
      </c>
      <c r="D9" s="23" t="inlineStr">
        <is>
          <t>Form</t>
        </is>
      </c>
      <c r="E9" s="23" t="inlineStr">
        <is>
          <t>Fire</t>
        </is>
      </c>
      <c r="F9" s="23" t="inlineStr">
        <is>
          <t>5</t>
        </is>
      </c>
      <c r="G9" s="23" t="inlineStr">
        <is>
          <t>Weighbridge</t>
        </is>
      </c>
      <c r="H9" s="23" t="inlineStr">
        <is>
          <t>Commercial</t>
        </is>
      </c>
      <c r="I9" s="23" t="inlineStr">
        <is>
          <t>Cancelled</t>
        </is>
      </c>
      <c r="J9" s="23" t="inlineStr">
        <is>
          <t>Planning Consent</t>
        </is>
      </c>
      <c r="N9" s="23" t="inlineStr">
        <is>
          <t>Statutory</t>
        </is>
      </c>
    </row>
    <row r="10">
      <c r="A10" s="23" t="inlineStr">
        <is>
          <t>Supplier</t>
        </is>
      </c>
      <c r="D10" s="23" t="inlineStr">
        <is>
          <t>Register</t>
        </is>
      </c>
      <c r="E10" s="23" t="inlineStr">
        <is>
          <t>Road Traffic Collision</t>
        </is>
      </c>
      <c r="G10" s="23" t="inlineStr">
        <is>
          <t>Site Inspection</t>
        </is>
      </c>
      <c r="J10" s="23" t="inlineStr">
        <is>
          <t>Trade Effluent Consent</t>
        </is>
      </c>
      <c r="N10" s="23" t="inlineStr">
        <is>
          <t>Internal</t>
        </is>
      </c>
    </row>
    <row r="11">
      <c r="D11" s="23" t="inlineStr">
        <is>
          <t>Record</t>
        </is>
      </c>
      <c r="E11" s="23" t="inlineStr">
        <is>
          <t>Property Damage</t>
        </is>
      </c>
      <c r="G11" s="23" t="inlineStr">
        <is>
          <t>Supplier</t>
        </is>
      </c>
      <c r="J11" s="23" t="inlineStr">
        <is>
          <t>Duty of Care Exemption</t>
        </is>
      </c>
    </row>
    <row r="12">
      <c r="D12" s="23" t="inlineStr">
        <is>
          <t>Plan</t>
        </is>
      </c>
      <c r="E12" s="23" t="inlineStr">
        <is>
          <t>Dangerous Occurrence</t>
        </is>
      </c>
      <c r="G12" s="23" t="inlineStr">
        <is>
          <t>Incident</t>
        </is>
      </c>
      <c r="J12" s="23" t="inlineStr">
        <is>
          <t>Insurance</t>
        </is>
      </c>
    </row>
    <row r="13">
      <c r="D13" s="23" t="inlineStr">
        <is>
          <t>External Document</t>
        </is>
      </c>
      <c r="E13" s="23" t="inlineStr">
        <is>
          <t>Ill Health</t>
        </is>
      </c>
      <c r="G13" s="23" t="inlineStr">
        <is>
          <t>Management Review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Acorn Ops platform build</dc:creator>
  <dc:title xmlns:dc="http://purl.org/dc/elements/1.1/">Acorn Recyclers - Compliance</dc:title>
  <dc:description xmlns:dc="http://purl.org/dc/elements/1.1/">The ISO 9001 / 14001 / 45001 management system registers.</dc:description>
  <dcterms:created xmlns:dcterms="http://purl.org/dc/terms/" xmlns:xsi="http://www.w3.org/2001/XMLSchema-instance" xsi:type="dcterms:W3CDTF">2026-08-17T18:10:17Z</dcterms:created>
  <dcterms:modified xmlns:dcterms="http://purl.org/dc/terms/" xmlns:xsi="http://www.w3.org/2001/XMLSchema-instance" xsi:type="dcterms:W3CDTF">2026-08-17T18:10:17Z</dcterms:modified>
</cp:coreProperties>
</file>